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c8e4e5c71e536a4b/Desktop/"/>
    </mc:Choice>
  </mc:AlternateContent>
  <xr:revisionPtr revIDLastSave="265" documentId="14_{36332DA4-F520-4F0A-9D63-1028EABA3362}" xr6:coauthVersionLast="47" xr6:coauthVersionMax="47" xr10:uidLastSave="{09FFD75B-6746-4A7C-8697-7065FDDF1ECE}"/>
  <bookViews>
    <workbookView xWindow="-108" yWindow="-108" windowWidth="23256" windowHeight="12456" xr2:uid="{70D9EC29-C6D1-472B-B8E8-0E549AFACED4}"/>
  </bookViews>
  <sheets>
    <sheet name="professional excel dashboard" sheetId="1" r:id="rId1"/>
    <sheet name="data" sheetId="4" r:id="rId2"/>
    <sheet name="pivot" sheetId="3" r:id="rId3"/>
  </sheets>
  <definedNames>
    <definedName name="NativeTimeline_Date">#N/A</definedName>
    <definedName name="Slicer_Item">#N/A</definedName>
    <definedName name="Slicer_Region">#N/A</definedName>
  </definedNames>
  <calcPr calcId="191029" calcCompleted="0"/>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3" l="1"/>
  <c r="B11" i="3"/>
</calcChain>
</file>

<file path=xl/sharedStrings.xml><?xml version="1.0" encoding="utf-8"?>
<sst xmlns="http://schemas.openxmlformats.org/spreadsheetml/2006/main" count="290" uniqueCount="43">
  <si>
    <t>Sl No</t>
  </si>
  <si>
    <t>Date</t>
  </si>
  <si>
    <t>Customer</t>
  </si>
  <si>
    <t>Region</t>
  </si>
  <si>
    <t>Item</t>
  </si>
  <si>
    <t>Qty</t>
  </si>
  <si>
    <t>Price</t>
  </si>
  <si>
    <t>Amount</t>
  </si>
  <si>
    <t>Maria Angelica</t>
  </si>
  <si>
    <t>West</t>
  </si>
  <si>
    <t>Lukas MÃ¼ller</t>
  </si>
  <si>
    <t>East</t>
  </si>
  <si>
    <t>Charger</t>
  </si>
  <si>
    <t>Mohammad Ali</t>
  </si>
  <si>
    <t>Ava Jenkins</t>
  </si>
  <si>
    <t>North</t>
  </si>
  <si>
    <t>Ethan Lee</t>
  </si>
  <si>
    <t>Olivia Brown</t>
  </si>
  <si>
    <t>Ramesh Kumar</t>
  </si>
  <si>
    <t>Yui Nakamura</t>
  </si>
  <si>
    <t>Emily Johnson</t>
  </si>
  <si>
    <t>Fatima Al Mak</t>
  </si>
  <si>
    <t>South</t>
  </si>
  <si>
    <t>Row Labels</t>
  </si>
  <si>
    <t>Grand Total</t>
  </si>
  <si>
    <t>Sum of Amount</t>
  </si>
  <si>
    <t>Details for Sum of Amount - Item: Charger</t>
  </si>
  <si>
    <t>Sum of Qty</t>
  </si>
  <si>
    <t>total revanue</t>
  </si>
  <si>
    <t>total quantity sold</t>
  </si>
  <si>
    <t>Jan</t>
  </si>
  <si>
    <t>Feb</t>
  </si>
  <si>
    <t>Mar</t>
  </si>
  <si>
    <t>Apr</t>
  </si>
  <si>
    <t>May</t>
  </si>
  <si>
    <t>Jun</t>
  </si>
  <si>
    <t>Jul</t>
  </si>
  <si>
    <t>Aug</t>
  </si>
  <si>
    <t>Sep</t>
  </si>
  <si>
    <t>Oct</t>
  </si>
  <si>
    <t>Nov</t>
  </si>
  <si>
    <t>Dec</t>
  </si>
  <si>
    <t>Chair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</si>
</sst>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quot;k&quot;"/>
    <numFmt numFmtId="165" formatCode="#,##0,&quot;l&quot;"/>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0" xfId="0" pivotButton="1"/>
    <xf numFmtId="0" fontId="0" fillId="0" borderId="0" xfId="0" applyAlignment="1">
      <alignment horizontal="left"/>
    </xf>
    <xf numFmtId="164" fontId="0" fillId="0" borderId="0" xfId="0" applyNumberFormat="1"/>
    <xf numFmtId="14" fontId="0" fillId="0" borderId="0" xfId="0" applyNumberFormat="1"/>
    <xf numFmtId="0" fontId="1" fillId="0" borderId="0" xfId="0" applyFont="1"/>
    <xf numFmtId="0" fontId="0" fillId="0" borderId="1" xfId="0" applyBorder="1"/>
    <xf numFmtId="0" fontId="0" fillId="2" borderId="1" xfId="0" applyFill="1" applyBorder="1" applyAlignment="1">
      <alignment horizontal="left"/>
    </xf>
    <xf numFmtId="165" fontId="0" fillId="0" borderId="0" xfId="0" pivotButton="1" applyNumberFormat="1"/>
    <xf numFmtId="165" fontId="0" fillId="0" borderId="0" xfId="0" applyNumberFormat="1"/>
    <xf numFmtId="165" fontId="0" fillId="0" borderId="0" xfId="0" applyNumberFormat="1" applyAlignment="1">
      <alignment horizontal="left"/>
    </xf>
  </cellXfs>
  <cellStyles count="1">
    <cellStyle name="Normal" xfId="0" builtinId="0"/>
  </cellStyles>
  <dxfs count="100">
    <dxf>
      <numFmt numFmtId="164" formatCode="#,##0\ &quot;k&quot;"/>
    </dxf>
    <dxf>
      <numFmt numFmtId="164" formatCode="#,##0\ &quot;k&quot;"/>
    </dxf>
    <dxf>
      <numFmt numFmtId="165" formatCode="#,##0,&quot;l&quot;"/>
    </dxf>
    <dxf>
      <numFmt numFmtId="165" formatCode="#,##0,&quot;l&quot;"/>
    </dxf>
    <dxf>
      <numFmt numFmtId="165" formatCode="#,##0,&quot;l&quot;"/>
    </dxf>
    <dxf>
      <numFmt numFmtId="165" formatCode="#,##0,&quot;l&quot;"/>
    </dxf>
    <dxf>
      <numFmt numFmtId="165" formatCode="#,##0,&quot;l&quot;"/>
    </dxf>
    <dxf>
      <numFmt numFmtId="165" formatCode="#,##0,&quot;l&quot;"/>
    </dxf>
    <dxf>
      <numFmt numFmtId="164" formatCode="#,##0\ &quot;k&quot;"/>
    </dxf>
    <dxf>
      <numFmt numFmtId="164" formatCode="#,##0\ &quot;k&quot;"/>
    </dxf>
    <dxf>
      <numFmt numFmtId="164" formatCode="#,##0\ &quot;k&quot;"/>
    </dxf>
    <dxf>
      <numFmt numFmtId="165" formatCode="#,##0,&quot;l&quot;"/>
    </dxf>
    <dxf>
      <numFmt numFmtId="165" formatCode="#,##0,&quot;l&quot;"/>
    </dxf>
    <dxf>
      <numFmt numFmtId="165" formatCode="#,##0,&quot;l&quot;"/>
    </dxf>
    <dxf>
      <numFmt numFmtId="165" formatCode="#,##0,&quot;l&quot;"/>
    </dxf>
    <dxf>
      <numFmt numFmtId="165" formatCode="#,##0,&quot;l&quot;"/>
    </dxf>
    <dxf>
      <numFmt numFmtId="165" formatCode="#,##0,&quot;l&quot;"/>
    </dxf>
    <dxf>
      <numFmt numFmtId="164" formatCode="#,##0\ &quot;k&quot;"/>
    </dxf>
    <dxf>
      <numFmt numFmtId="164" formatCode="#,##0\ &quot;k&quot;"/>
    </dxf>
    <dxf>
      <numFmt numFmtId="164" formatCode="#,##0\ &quot;k&quot;"/>
    </dxf>
    <dxf>
      <numFmt numFmtId="165" formatCode="#,##0,&quot;l&quot;"/>
    </dxf>
    <dxf>
      <numFmt numFmtId="165" formatCode="#,##0,&quot;l&quot;"/>
    </dxf>
    <dxf>
      <numFmt numFmtId="165" formatCode="#,##0,&quot;l&quot;"/>
    </dxf>
    <dxf>
      <numFmt numFmtId="165" formatCode="#,##0,&quot;l&quot;"/>
    </dxf>
    <dxf>
      <numFmt numFmtId="165" formatCode="#,##0,&quot;l&quot;"/>
    </dxf>
    <dxf>
      <numFmt numFmtId="165" formatCode="#,##0,&quot;l&quot;"/>
    </dxf>
    <dxf>
      <numFmt numFmtId="164" formatCode="#,##0\ &quot;k&quot;"/>
    </dxf>
    <dxf>
      <numFmt numFmtId="164" formatCode="#,##0\ &quot;k&quot;"/>
    </dxf>
    <dxf>
      <numFmt numFmtId="164" formatCode="#,##0\ &quot;k&quot;"/>
    </dxf>
    <dxf>
      <numFmt numFmtId="165" formatCode="#,##0,&quot;l&quot;"/>
    </dxf>
    <dxf>
      <numFmt numFmtId="165" formatCode="#,##0,&quot;l&quot;"/>
    </dxf>
    <dxf>
      <numFmt numFmtId="165" formatCode="#,##0,&quot;l&quot;"/>
    </dxf>
    <dxf>
      <numFmt numFmtId="165" formatCode="#,##0,&quot;l&quot;"/>
    </dxf>
    <dxf>
      <numFmt numFmtId="165" formatCode="#,##0,&quot;l&quot;"/>
    </dxf>
    <dxf>
      <numFmt numFmtId="165" formatCode="#,##0,&quot;l&quot;"/>
    </dxf>
    <dxf>
      <numFmt numFmtId="164" formatCode="#,##0\ &quot;k&quot;"/>
    </dxf>
    <dxf>
      <numFmt numFmtId="164" formatCode="#,##0\ &quot;k&quot;"/>
    </dxf>
    <dxf>
      <numFmt numFmtId="164" formatCode="#,##0\ &quot;k&quot;"/>
    </dxf>
    <dxf>
      <numFmt numFmtId="165" formatCode="#,##0,&quot;l&quot;"/>
    </dxf>
    <dxf>
      <numFmt numFmtId="165" formatCode="#,##0,&quot;l&quot;"/>
    </dxf>
    <dxf>
      <numFmt numFmtId="165" formatCode="#,##0,&quot;l&quot;"/>
    </dxf>
    <dxf>
      <numFmt numFmtId="165" formatCode="#,##0,&quot;l&quot;"/>
    </dxf>
    <dxf>
      <numFmt numFmtId="165" formatCode="#,##0,&quot;l&quot;"/>
    </dxf>
    <dxf>
      <numFmt numFmtId="165" formatCode="#,##0,&quot;l&quot;"/>
    </dxf>
    <dxf>
      <numFmt numFmtId="164" formatCode="#,##0\ &quot;k&quot;"/>
    </dxf>
    <dxf>
      <numFmt numFmtId="164" formatCode="#,##0\ &quot;k&quot;"/>
    </dxf>
    <dxf>
      <numFmt numFmtId="164" formatCode="#,##0\ &quot;k&quot;"/>
    </dxf>
    <dxf>
      <numFmt numFmtId="165" formatCode="#,##0,&quot;l&quot;"/>
    </dxf>
    <dxf>
      <numFmt numFmtId="165" formatCode="#,##0,&quot;l&quot;"/>
    </dxf>
    <dxf>
      <numFmt numFmtId="165" formatCode="#,##0,&quot;l&quot;"/>
    </dxf>
    <dxf>
      <numFmt numFmtId="165" formatCode="#,##0,&quot;l&quot;"/>
    </dxf>
    <dxf>
      <numFmt numFmtId="165" formatCode="#,##0,&quot;l&quot;"/>
    </dxf>
    <dxf>
      <numFmt numFmtId="165" formatCode="#,##0,&quot;l&quot;"/>
    </dxf>
    <dxf>
      <numFmt numFmtId="164" formatCode="#,##0\ &quot;k&quot;"/>
    </dxf>
    <dxf>
      <numFmt numFmtId="164" formatCode="#,##0\ &quot;k&quot;"/>
    </dxf>
    <dxf>
      <numFmt numFmtId="164" formatCode="#,##0\ &quot;k&quot;"/>
    </dxf>
    <dxf>
      <numFmt numFmtId="165" formatCode="#,##0,&quot;l&quot;"/>
    </dxf>
    <dxf>
      <numFmt numFmtId="165" formatCode="#,##0,&quot;l&quot;"/>
    </dxf>
    <dxf>
      <numFmt numFmtId="165" formatCode="#,##0,&quot;l&quot;"/>
    </dxf>
    <dxf>
      <numFmt numFmtId="165" formatCode="#,##0,&quot;l&quot;"/>
    </dxf>
    <dxf>
      <numFmt numFmtId="165" formatCode="#,##0,&quot;l&quot;"/>
    </dxf>
    <dxf>
      <numFmt numFmtId="165" formatCode="#,##0,&quot;l&quot;"/>
    </dxf>
    <dxf>
      <numFmt numFmtId="164" formatCode="#,##0\ &quot;k&quot;"/>
    </dxf>
    <dxf>
      <numFmt numFmtId="164" formatCode="#,##0\ &quot;k&quot;"/>
    </dxf>
    <dxf>
      <numFmt numFmtId="164" formatCode="#,##0\ &quot;k&quot;"/>
    </dxf>
    <dxf>
      <numFmt numFmtId="165" formatCode="#,##0,&quot;l&quot;"/>
    </dxf>
    <dxf>
      <numFmt numFmtId="165" formatCode="#,##0,&quot;l&quot;"/>
    </dxf>
    <dxf>
      <numFmt numFmtId="165" formatCode="#,##0,&quot;l&quot;"/>
    </dxf>
    <dxf>
      <numFmt numFmtId="165" formatCode="#,##0,&quot;l&quot;"/>
    </dxf>
    <dxf>
      <numFmt numFmtId="165" formatCode="#,##0,&quot;l&quot;"/>
    </dxf>
    <dxf>
      <numFmt numFmtId="165" formatCode="#,##0,&quot;l&quot;"/>
    </dxf>
    <dxf>
      <numFmt numFmtId="164" formatCode="#,##0\ &quot;k&quot;"/>
    </dxf>
    <dxf>
      <numFmt numFmtId="164" formatCode="#,##0\ &quot;k&quot;"/>
    </dxf>
    <dxf>
      <numFmt numFmtId="164" formatCode="#,##0\ &quot;k&quot;"/>
    </dxf>
    <dxf>
      <numFmt numFmtId="165" formatCode="#,##0,&quot;l&quot;"/>
    </dxf>
    <dxf>
      <numFmt numFmtId="165" formatCode="#,##0,&quot;l&quot;"/>
    </dxf>
    <dxf>
      <numFmt numFmtId="165" formatCode="#,##0,&quot;l&quot;"/>
    </dxf>
    <dxf>
      <numFmt numFmtId="165" formatCode="#,##0,&quot;l&quot;"/>
    </dxf>
    <dxf>
      <numFmt numFmtId="165" formatCode="#,##0,&quot;l&quot;"/>
    </dxf>
    <dxf>
      <numFmt numFmtId="165" formatCode="#,##0,&quot;l&quot;"/>
    </dxf>
    <dxf>
      <numFmt numFmtId="164" formatCode="#,##0\ &quot;k&quot;"/>
    </dxf>
    <dxf>
      <numFmt numFmtId="164" formatCode="#,##0\ &quot;k&quot;"/>
    </dxf>
    <dxf>
      <numFmt numFmtId="164" formatCode="#,##0\ &quot;k&quot;"/>
    </dxf>
    <dxf>
      <numFmt numFmtId="165" formatCode="#,##0,&quot;l&quot;"/>
    </dxf>
    <dxf>
      <numFmt numFmtId="165" formatCode="#,##0,&quot;l&quot;"/>
    </dxf>
    <dxf>
      <numFmt numFmtId="165" formatCode="#,##0,&quot;l&quot;"/>
    </dxf>
    <dxf>
      <numFmt numFmtId="165" formatCode="#,##0,&quot;l&quot;"/>
    </dxf>
    <dxf>
      <numFmt numFmtId="165" formatCode="#,##0,&quot;l&quot;"/>
    </dxf>
    <dxf>
      <numFmt numFmtId="165" formatCode="#,##0,&quot;l&quot;"/>
    </dxf>
    <dxf>
      <numFmt numFmtId="164" formatCode="#,##0\ &quot;k&quot;"/>
    </dxf>
    <dxf>
      <numFmt numFmtId="164" formatCode="#,##0\ &quot;k&quot;"/>
    </dxf>
    <dxf>
      <numFmt numFmtId="164" formatCode="#,##0\ &quot;k&quot;"/>
    </dxf>
    <dxf>
      <numFmt numFmtId="165" formatCode="#,##0,&quot;l&quot;"/>
    </dxf>
    <dxf>
      <numFmt numFmtId="165" formatCode="#,##0,&quot;l&quot;"/>
    </dxf>
    <dxf>
      <numFmt numFmtId="165" formatCode="#,##0,&quot;l&quot;"/>
    </dxf>
    <dxf>
      <numFmt numFmtId="165" formatCode="#,##0,&quot;l&quot;"/>
    </dxf>
    <dxf>
      <numFmt numFmtId="165" formatCode="#,##0,&quot;l&quot;"/>
    </dxf>
    <dxf>
      <numFmt numFmtId="165" formatCode="#,##0,&quot;l&quot;"/>
    </dxf>
    <dxf>
      <numFmt numFmtId="164" formatCode="#,##0\ &quot;k&quot;"/>
    </dxf>
    <dxf>
      <numFmt numFmtId="19" formatCode="dd/mm/yyyy"/>
    </dxf>
  </dxfs>
  <tableStyles count="0" defaultTableStyle="TableStyleMedium2" defaultPivotStyle="PivotStyleLight16"/>
  <colors>
    <mruColors>
      <color rgb="FF26A2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[professional excel dashboard.xlsx]pivot!PivotTable5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region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quot;l&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75000"/>
              <a:lumOff val="25000"/>
            </a:schemeClr>
          </a:solidFill>
          <a:ln>
            <a:noFill/>
          </a:ln>
          <a:effectLst/>
        </c:spPr>
      </c:pivotFmt>
      <c:pivotFmt>
        <c:idx val="4"/>
        <c:spPr>
          <a:solidFill>
            <a:schemeClr val="tx2">
              <a:lumMod val="75000"/>
              <a:lumOff val="25000"/>
            </a:schemeClr>
          </a:solidFill>
          <a:ln>
            <a:noFill/>
          </a:ln>
          <a:effectLst/>
        </c:spPr>
      </c:pivotFmt>
      <c:pivotFmt>
        <c:idx val="5"/>
        <c:spPr>
          <a:solidFill>
            <a:schemeClr val="tx2">
              <a:lumMod val="75000"/>
              <a:lumOff val="25000"/>
            </a:schemeClr>
          </a:solidFill>
          <a:ln>
            <a:noFill/>
          </a:ln>
          <a:effectLst/>
        </c:spPr>
      </c:pivotFmt>
      <c:pivotFmt>
        <c:idx val="6"/>
        <c:spPr>
          <a:solidFill>
            <a:schemeClr val="tx2">
              <a:lumMod val="75000"/>
              <a:lumOff val="25000"/>
            </a:schemeClr>
          </a:solidFill>
          <a:ln>
            <a:noFill/>
          </a:ln>
          <a:effectLst/>
        </c:spPr>
      </c:pivotFmt>
    </c:pivotFmts>
    <c:plotArea>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dPt>
            <c:idx val="0"/>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1-B3D4-414F-9D67-CCD1BE3ACB22}"/>
              </c:ext>
            </c:extLst>
          </c:dPt>
          <c:dPt>
            <c:idx val="1"/>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3-B3D4-414F-9D67-CCD1BE3ACB22}"/>
              </c:ext>
            </c:extLst>
          </c:dPt>
          <c:dPt>
            <c:idx val="2"/>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5-B3D4-414F-9D67-CCD1BE3ACB22}"/>
              </c:ext>
            </c:extLst>
          </c:dPt>
          <c:dPt>
            <c:idx val="3"/>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7-B3D4-414F-9D67-CCD1BE3ACB22}"/>
              </c:ext>
            </c:extLst>
          </c:dPt>
          <c:dLbls>
            <c:numFmt formatCode="0.00,,&quot;l&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pivot!$A$4:$A$8</c:f>
              <c:strCache>
                <c:ptCount val="4"/>
                <c:pt idx="0">
                  <c:v>East</c:v>
                </c:pt>
                <c:pt idx="1">
                  <c:v>North</c:v>
                </c:pt>
                <c:pt idx="2">
                  <c:v>South</c:v>
                </c:pt>
                <c:pt idx="3">
                  <c:v>West</c:v>
                </c:pt>
              </c:strCache>
            </c:strRef>
          </c:cat>
          <c:val>
            <c:numRef>
              <c:f>pivot!$B$4:$B$8</c:f>
              <c:numCache>
                <c:formatCode>#,##0\ "k"</c:formatCode>
                <c:ptCount val="4"/>
                <c:pt idx="0">
                  <c:v>103230</c:v>
                </c:pt>
                <c:pt idx="1">
                  <c:v>185310</c:v>
                </c:pt>
                <c:pt idx="2">
                  <c:v>105700</c:v>
                </c:pt>
                <c:pt idx="3">
                  <c:v>90660</c:v>
                </c:pt>
              </c:numCache>
            </c:numRef>
          </c:val>
          <c:extLst>
            <c:ext xmlns:c16="http://schemas.microsoft.com/office/drawing/2014/chart" uri="{C3380CC4-5D6E-409C-BE32-E72D297353CC}">
              <c16:uniqueId val="{00000008-A5FE-4982-9E54-B5EEB3A06E3A}"/>
            </c:ext>
          </c:extLst>
        </c:ser>
        <c:dLbls>
          <c:dLblPos val="outEnd"/>
          <c:showLegendKey val="0"/>
          <c:showVal val="1"/>
          <c:showCatName val="0"/>
          <c:showSerName val="0"/>
          <c:showPercent val="0"/>
          <c:showBubbleSize val="0"/>
        </c:dLbls>
        <c:gapWidth val="219"/>
        <c:overlap val="-27"/>
        <c:axId val="2013834304"/>
        <c:axId val="1982979504"/>
      </c:barChart>
      <c:catAx>
        <c:axId val="2013834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979504"/>
        <c:crosses val="autoZero"/>
        <c:auto val="1"/>
        <c:lblAlgn val="ctr"/>
        <c:lblOffset val="100"/>
        <c:noMultiLvlLbl val="0"/>
      </c:catAx>
      <c:valAx>
        <c:axId val="1982979504"/>
        <c:scaling>
          <c:orientation val="minMax"/>
        </c:scaling>
        <c:delete val="1"/>
        <c:axPos val="l"/>
        <c:numFmt formatCode="#,##0\ &quot;k&quot;" sourceLinked="1"/>
        <c:majorTickMark val="none"/>
        <c:minorTickMark val="none"/>
        <c:tickLblPos val="nextTo"/>
        <c:crossAx val="2013834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[professional excel dashboard.xlsx]pivot!PivotTable2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a:t>
            </a:r>
            <a:r>
              <a:rPr lang="en-US" b="1" baseline="0"/>
              <a:t> sales trend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numFmt formatCode="0.0,,&quot;l&quot;" sourceLinked="0"/>
          <c:spPr>
            <a:noFill/>
            <a:ln w="0">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01159230096239"/>
          <c:y val="0.25865522018081066"/>
          <c:w val="0.70928915135608051"/>
          <c:h val="0.53811424613589964"/>
        </c:manualLayout>
      </c:layout>
      <c:barChart>
        <c:barDir val="col"/>
        <c:grouping val="clustered"/>
        <c:varyColors val="0"/>
        <c:ser>
          <c:idx val="0"/>
          <c:order val="0"/>
          <c:tx>
            <c:strRef>
              <c:f>pivot!$E$3</c:f>
              <c:strCache>
                <c:ptCount val="1"/>
                <c:pt idx="0">
                  <c:v>Total</c:v>
                </c:pt>
              </c:strCache>
            </c:strRef>
          </c:tx>
          <c:spPr>
            <a:solidFill>
              <a:schemeClr val="accent6"/>
            </a:solidFill>
            <a:ln>
              <a:noFill/>
            </a:ln>
            <a:effectLst/>
          </c:spPr>
          <c:invertIfNegative val="0"/>
          <c:dLbls>
            <c:numFmt formatCode="0.0,,&quot;l&quot;" sourceLinked="0"/>
            <c:spPr>
              <a:noFill/>
              <a:ln w="0">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pivot!$E$4:$E$16</c:f>
              <c:numCache>
                <c:formatCode>#,##0\ "k"</c:formatCode>
                <c:ptCount val="12"/>
                <c:pt idx="0">
                  <c:v>42880</c:v>
                </c:pt>
                <c:pt idx="1">
                  <c:v>3720</c:v>
                </c:pt>
                <c:pt idx="2">
                  <c:v>2210</c:v>
                </c:pt>
                <c:pt idx="3">
                  <c:v>10660</c:v>
                </c:pt>
                <c:pt idx="4">
                  <c:v>65200</c:v>
                </c:pt>
                <c:pt idx="5">
                  <c:v>7240</c:v>
                </c:pt>
                <c:pt idx="6">
                  <c:v>81580</c:v>
                </c:pt>
                <c:pt idx="7">
                  <c:v>88180</c:v>
                </c:pt>
                <c:pt idx="8">
                  <c:v>89780</c:v>
                </c:pt>
                <c:pt idx="9">
                  <c:v>8540</c:v>
                </c:pt>
                <c:pt idx="10">
                  <c:v>7810</c:v>
                </c:pt>
                <c:pt idx="11">
                  <c:v>77100</c:v>
                </c:pt>
              </c:numCache>
            </c:numRef>
          </c:val>
          <c:extLst>
            <c:ext xmlns:c16="http://schemas.microsoft.com/office/drawing/2014/chart" uri="{C3380CC4-5D6E-409C-BE32-E72D297353CC}">
              <c16:uniqueId val="{00000000-8CB1-4ABC-AFCD-CB6C9299B827}"/>
            </c:ext>
          </c:extLst>
        </c:ser>
        <c:dLbls>
          <c:dLblPos val="outEnd"/>
          <c:showLegendKey val="0"/>
          <c:showVal val="1"/>
          <c:showCatName val="0"/>
          <c:showSerName val="0"/>
          <c:showPercent val="0"/>
          <c:showBubbleSize val="0"/>
        </c:dLbls>
        <c:gapWidth val="219"/>
        <c:overlap val="-27"/>
        <c:axId val="2013841264"/>
        <c:axId val="515858736"/>
      </c:barChart>
      <c:catAx>
        <c:axId val="20138412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858736"/>
        <c:crosses val="autoZero"/>
        <c:auto val="1"/>
        <c:lblAlgn val="ctr"/>
        <c:lblOffset val="100"/>
        <c:noMultiLvlLbl val="0"/>
      </c:catAx>
      <c:valAx>
        <c:axId val="515858736"/>
        <c:scaling>
          <c:orientation val="minMax"/>
        </c:scaling>
        <c:delete val="0"/>
        <c:axPos val="l"/>
        <c:numFmt formatCode="0.0,,&quot;l&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841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0" cap="flat" cmpd="sng" algn="ctr">
      <a:solidFill>
        <a:schemeClr val="tx1">
          <a:lumMod val="15000"/>
          <a:lumOff val="85000"/>
          <a:alpha val="17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[professional excel dashboard.xlsx]pivot!PivotTable4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quantity</a:t>
            </a:r>
            <a:r>
              <a:rPr lang="en-IN" b="1" baseline="0"/>
              <a:t> sold by product</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pivot!$K$3</c:f>
              <c:strCache>
                <c:ptCount val="1"/>
                <c:pt idx="0">
                  <c:v>Total</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pivot!$J$4:$J$5</c:f>
              <c:strCache>
                <c:ptCount val="1"/>
                <c:pt idx="0">
                  <c:v>Chair</c:v>
                </c:pt>
              </c:strCache>
            </c:strRef>
          </c:cat>
          <c:val>
            <c:numRef>
              <c:f>pivot!$K$4:$K$5</c:f>
              <c:numCache>
                <c:formatCode>#,##0\ "k"</c:formatCode>
                <c:ptCount val="1"/>
                <c:pt idx="0">
                  <c:v>369</c:v>
                </c:pt>
              </c:numCache>
            </c:numRef>
          </c:val>
          <c:extLst>
            <c:ext xmlns:c16="http://schemas.microsoft.com/office/drawing/2014/chart" uri="{C3380CC4-5D6E-409C-BE32-E72D297353CC}">
              <c16:uniqueId val="{00000000-7BE0-4581-89E3-130FB4BB0E7B}"/>
            </c:ext>
          </c:extLst>
        </c:ser>
        <c:dLbls>
          <c:showLegendKey val="0"/>
          <c:showVal val="1"/>
          <c:showCatName val="0"/>
          <c:showSerName val="0"/>
          <c:showPercent val="0"/>
          <c:showBubbleSize val="0"/>
        </c:dLbls>
        <c:axId val="396243231"/>
        <c:axId val="374131599"/>
      </c:areaChart>
      <c:catAx>
        <c:axId val="3962432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131599"/>
        <c:crosses val="autoZero"/>
        <c:auto val="1"/>
        <c:lblAlgn val="ctr"/>
        <c:lblOffset val="100"/>
        <c:noMultiLvlLbl val="0"/>
      </c:catAx>
      <c:valAx>
        <c:axId val="374131599"/>
        <c:scaling>
          <c:orientation val="minMax"/>
        </c:scaling>
        <c:delete val="1"/>
        <c:axPos val="l"/>
        <c:numFmt formatCode="#,##0\ &quot;k&quot;" sourceLinked="1"/>
        <c:majorTickMark val="out"/>
        <c:minorTickMark val="none"/>
        <c:tickLblPos val="nextTo"/>
        <c:crossAx val="39624323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[professional excel dashboard.xlsx]pivot!PivotTable3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product(item)</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pivot!$H$3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pivot!$G$4:$G$5</c:f>
              <c:strCache>
                <c:ptCount val="1"/>
                <c:pt idx="0">
                  <c:v>Chair</c:v>
                </c:pt>
              </c:strCache>
            </c:strRef>
          </c:cat>
          <c:val>
            <c:numRef>
              <c:f>pivot!$H$4:$H$5</c:f>
              <c:numCache>
                <c:formatCode>#,##0,"l"</c:formatCode>
                <c:ptCount val="1"/>
                <c:pt idx="0">
                  <c:v>484900</c:v>
                </c:pt>
              </c:numCache>
            </c:numRef>
          </c:val>
          <c:extLst>
            <c:ext xmlns:c16="http://schemas.microsoft.com/office/drawing/2014/chart" uri="{C3380CC4-5D6E-409C-BE32-E72D297353CC}">
              <c16:uniqueId val="{00000000-4F01-48A1-8FF4-A9F764446435}"/>
            </c:ext>
          </c:extLst>
        </c:ser>
        <c:dLbls>
          <c:dLblPos val="outEnd"/>
          <c:showLegendKey val="0"/>
          <c:showVal val="1"/>
          <c:showCatName val="0"/>
          <c:showSerName val="0"/>
          <c:showPercent val="0"/>
          <c:showBubbleSize val="0"/>
        </c:dLbls>
        <c:gapWidth val="182"/>
        <c:axId val="540932799"/>
        <c:axId val="374164239"/>
      </c:barChart>
      <c:catAx>
        <c:axId val="540932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164239"/>
        <c:crosses val="autoZero"/>
        <c:auto val="1"/>
        <c:lblAlgn val="ctr"/>
        <c:lblOffset val="100"/>
        <c:noMultiLvlLbl val="0"/>
      </c:catAx>
      <c:valAx>
        <c:axId val="374164239"/>
        <c:scaling>
          <c:orientation val="minMax"/>
        </c:scaling>
        <c:delete val="0"/>
        <c:axPos val="b"/>
        <c:numFmt formatCode="#,##0,&quot;l&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932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[professional excel dashboard.xlsx]pivot!PivotTable5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67825896762905"/>
          <c:y val="0.24939596092155147"/>
          <c:w val="0.69662248468941379"/>
          <c:h val="0.53811424613589964"/>
        </c:manualLayout>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cat>
            <c:strRef>
              <c:f>pivot!$A$4:$A$8</c:f>
              <c:strCache>
                <c:ptCount val="4"/>
                <c:pt idx="0">
                  <c:v>East</c:v>
                </c:pt>
                <c:pt idx="1">
                  <c:v>North</c:v>
                </c:pt>
                <c:pt idx="2">
                  <c:v>South</c:v>
                </c:pt>
                <c:pt idx="3">
                  <c:v>West</c:v>
                </c:pt>
              </c:strCache>
            </c:strRef>
          </c:cat>
          <c:val>
            <c:numRef>
              <c:f>pivot!$B$4:$B$8</c:f>
              <c:numCache>
                <c:formatCode>#,##0\ "k"</c:formatCode>
                <c:ptCount val="4"/>
                <c:pt idx="0">
                  <c:v>103230</c:v>
                </c:pt>
                <c:pt idx="1">
                  <c:v>185310</c:v>
                </c:pt>
                <c:pt idx="2">
                  <c:v>105700</c:v>
                </c:pt>
                <c:pt idx="3">
                  <c:v>90660</c:v>
                </c:pt>
              </c:numCache>
            </c:numRef>
          </c:val>
          <c:extLst>
            <c:ext xmlns:c16="http://schemas.microsoft.com/office/drawing/2014/chart" uri="{C3380CC4-5D6E-409C-BE32-E72D297353CC}">
              <c16:uniqueId val="{00000000-A2CD-46F0-948B-BF99C0A55648}"/>
            </c:ext>
          </c:extLst>
        </c:ser>
        <c:dLbls>
          <c:showLegendKey val="0"/>
          <c:showVal val="0"/>
          <c:showCatName val="0"/>
          <c:showSerName val="0"/>
          <c:showPercent val="0"/>
          <c:showBubbleSize val="0"/>
        </c:dLbls>
        <c:gapWidth val="219"/>
        <c:overlap val="-27"/>
        <c:axId val="2013834304"/>
        <c:axId val="1982979504"/>
      </c:barChart>
      <c:catAx>
        <c:axId val="2013834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979504"/>
        <c:crosses val="autoZero"/>
        <c:auto val="1"/>
        <c:lblAlgn val="ctr"/>
        <c:lblOffset val="100"/>
        <c:noMultiLvlLbl val="0"/>
      </c:catAx>
      <c:valAx>
        <c:axId val="1982979504"/>
        <c:scaling>
          <c:orientation val="minMax"/>
        </c:scaling>
        <c:delete val="0"/>
        <c:axPos val="l"/>
        <c:majorGridlines>
          <c:spPr>
            <a:ln w="9525" cap="flat" cmpd="sng" algn="ctr">
              <a:solidFill>
                <a:schemeClr val="tx1">
                  <a:lumMod val="15000"/>
                  <a:lumOff val="85000"/>
                </a:schemeClr>
              </a:solidFill>
              <a:round/>
            </a:ln>
            <a:effectLst/>
          </c:spPr>
        </c:majorGridlines>
        <c:numFmt formatCode="#,##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834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[professional excel dashboard.xlsx]pivot!PivotTable2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01159230096239"/>
          <c:y val="0.25865522018081066"/>
          <c:w val="0.70928915135608051"/>
          <c:h val="0.53811424613589964"/>
        </c:manualLayout>
      </c:layout>
      <c:barChart>
        <c:barDir val="col"/>
        <c:grouping val="clustered"/>
        <c:varyColors val="0"/>
        <c:ser>
          <c:idx val="0"/>
          <c:order val="0"/>
          <c:tx>
            <c:strRef>
              <c:f>pivot!$E$3</c:f>
              <c:strCache>
                <c:ptCount val="1"/>
                <c:pt idx="0">
                  <c:v>Total</c:v>
                </c:pt>
              </c:strCache>
            </c:strRef>
          </c:tx>
          <c:spPr>
            <a:solidFill>
              <a:schemeClr val="accent1"/>
            </a:solidFill>
            <a:ln>
              <a:noFill/>
            </a:ln>
            <a:effectLst/>
          </c:spPr>
          <c:invertIfNegative val="0"/>
          <c:cat>
            <c:strRef>
              <c:f>pivot!$D$4:$D$16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pivot!$E$4:$E$16</c:f>
              <c:numCache>
                <c:formatCode>#,##0\ "k"</c:formatCode>
                <c:ptCount val="12"/>
                <c:pt idx="0">
                  <c:v>42880</c:v>
                </c:pt>
                <c:pt idx="1">
                  <c:v>3720</c:v>
                </c:pt>
                <c:pt idx="2">
                  <c:v>2210</c:v>
                </c:pt>
                <c:pt idx="3">
                  <c:v>10660</c:v>
                </c:pt>
                <c:pt idx="4">
                  <c:v>65200</c:v>
                </c:pt>
                <c:pt idx="5">
                  <c:v>7240</c:v>
                </c:pt>
                <c:pt idx="6">
                  <c:v>81580</c:v>
                </c:pt>
                <c:pt idx="7">
                  <c:v>88180</c:v>
                </c:pt>
                <c:pt idx="8">
                  <c:v>89780</c:v>
                </c:pt>
                <c:pt idx="9">
                  <c:v>8540</c:v>
                </c:pt>
                <c:pt idx="10">
                  <c:v>7810</c:v>
                </c:pt>
                <c:pt idx="11">
                  <c:v>77100</c:v>
                </c:pt>
              </c:numCache>
            </c:numRef>
          </c:val>
          <c:extLst>
            <c:ext xmlns:c16="http://schemas.microsoft.com/office/drawing/2014/chart" uri="{C3380CC4-5D6E-409C-BE32-E72D297353CC}">
              <c16:uniqueId val="{00000000-E905-49B7-9279-67B6A0EA0F78}"/>
            </c:ext>
          </c:extLst>
        </c:ser>
        <c:dLbls>
          <c:showLegendKey val="0"/>
          <c:showVal val="0"/>
          <c:showCatName val="0"/>
          <c:showSerName val="0"/>
          <c:showPercent val="0"/>
          <c:showBubbleSize val="0"/>
        </c:dLbls>
        <c:gapWidth val="219"/>
        <c:overlap val="-27"/>
        <c:axId val="2013841264"/>
        <c:axId val="515858736"/>
      </c:barChart>
      <c:catAx>
        <c:axId val="201384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858736"/>
        <c:crosses val="autoZero"/>
        <c:auto val="1"/>
        <c:lblAlgn val="ctr"/>
        <c:lblOffset val="100"/>
        <c:noMultiLvlLbl val="0"/>
      </c:catAx>
      <c:valAx>
        <c:axId val="515858736"/>
        <c:scaling>
          <c:orientation val="minMax"/>
        </c:scaling>
        <c:delete val="0"/>
        <c:axPos val="l"/>
        <c:majorGridlines>
          <c:spPr>
            <a:ln w="9525" cap="flat" cmpd="sng" algn="ctr">
              <a:solidFill>
                <a:schemeClr val="tx1">
                  <a:lumMod val="15000"/>
                  <a:lumOff val="85000"/>
                </a:schemeClr>
              </a:solidFill>
              <a:round/>
            </a:ln>
            <a:effectLst/>
          </c:spPr>
        </c:majorGridlines>
        <c:numFmt formatCode="#,##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841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[professional excel dashboard.xlsx]pivot!PivotTable4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quantity</a:t>
            </a:r>
            <a:r>
              <a:rPr lang="en-IN" b="1" baseline="0"/>
              <a:t> sold by product</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pivot!$K$3</c:f>
              <c:strCache>
                <c:ptCount val="1"/>
                <c:pt idx="0">
                  <c:v>Total</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pivot!$J$4:$J$5</c:f>
              <c:strCache>
                <c:ptCount val="1"/>
                <c:pt idx="0">
                  <c:v>Chair</c:v>
                </c:pt>
              </c:strCache>
            </c:strRef>
          </c:cat>
          <c:val>
            <c:numRef>
              <c:f>pivot!$K$4:$K$5</c:f>
              <c:numCache>
                <c:formatCode>#,##0\ "k"</c:formatCode>
                <c:ptCount val="1"/>
                <c:pt idx="0">
                  <c:v>369</c:v>
                </c:pt>
              </c:numCache>
            </c:numRef>
          </c:val>
          <c:extLst>
            <c:ext xmlns:c16="http://schemas.microsoft.com/office/drawing/2014/chart" uri="{C3380CC4-5D6E-409C-BE32-E72D297353CC}">
              <c16:uniqueId val="{00000000-7EE7-4226-AEC6-4853C7A835D2}"/>
            </c:ext>
          </c:extLst>
        </c:ser>
        <c:dLbls>
          <c:showLegendKey val="0"/>
          <c:showVal val="1"/>
          <c:showCatName val="0"/>
          <c:showSerName val="0"/>
          <c:showPercent val="0"/>
          <c:showBubbleSize val="0"/>
        </c:dLbls>
        <c:axId val="396243231"/>
        <c:axId val="374131599"/>
      </c:areaChart>
      <c:catAx>
        <c:axId val="3962432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131599"/>
        <c:crosses val="autoZero"/>
        <c:auto val="1"/>
        <c:lblAlgn val="ctr"/>
        <c:lblOffset val="100"/>
        <c:noMultiLvlLbl val="0"/>
      </c:catAx>
      <c:valAx>
        <c:axId val="374131599"/>
        <c:scaling>
          <c:orientation val="minMax"/>
        </c:scaling>
        <c:delete val="1"/>
        <c:axPos val="l"/>
        <c:numFmt formatCode="#,##0\ &quot;k&quot;" sourceLinked="1"/>
        <c:majorTickMark val="out"/>
        <c:minorTickMark val="none"/>
        <c:tickLblPos val="nextTo"/>
        <c:crossAx val="39624323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[professional excel dashboard.xlsx]pivot!PivotTable3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product(item)</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pivot!$H$3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pivot!$G$4:$G$5</c:f>
              <c:strCache>
                <c:ptCount val="1"/>
                <c:pt idx="0">
                  <c:v>Chair</c:v>
                </c:pt>
              </c:strCache>
            </c:strRef>
          </c:cat>
          <c:val>
            <c:numRef>
              <c:f>pivot!$H$4:$H$5</c:f>
              <c:numCache>
                <c:formatCode>#,##0,"l"</c:formatCode>
                <c:ptCount val="1"/>
                <c:pt idx="0">
                  <c:v>484900</c:v>
                </c:pt>
              </c:numCache>
            </c:numRef>
          </c:val>
          <c:extLst>
            <c:ext xmlns:c16="http://schemas.microsoft.com/office/drawing/2014/chart" uri="{C3380CC4-5D6E-409C-BE32-E72D297353CC}">
              <c16:uniqueId val="{00000000-CDD8-48BA-A174-FF5B4C61DEDF}"/>
            </c:ext>
          </c:extLst>
        </c:ser>
        <c:dLbls>
          <c:dLblPos val="outEnd"/>
          <c:showLegendKey val="0"/>
          <c:showVal val="1"/>
          <c:showCatName val="0"/>
          <c:showSerName val="0"/>
          <c:showPercent val="0"/>
          <c:showBubbleSize val="0"/>
        </c:dLbls>
        <c:gapWidth val="182"/>
        <c:axId val="540932799"/>
        <c:axId val="374164239"/>
      </c:barChart>
      <c:catAx>
        <c:axId val="540932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164239"/>
        <c:crosses val="autoZero"/>
        <c:auto val="1"/>
        <c:lblAlgn val="ctr"/>
        <c:lblOffset val="100"/>
        <c:noMultiLvlLbl val="0"/>
      </c:catAx>
      <c:valAx>
        <c:axId val="374164239"/>
        <c:scaling>
          <c:orientation val="minMax"/>
        </c:scaling>
        <c:delete val="0"/>
        <c:axPos val="b"/>
        <c:numFmt formatCode="#,##0,&quot;l&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932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data!A1"/><Relationship Id="rId7" Type="http://schemas.openxmlformats.org/officeDocument/2006/relationships/chart" Target="../charts/chart4.xml"/><Relationship Id="rId2" Type="http://schemas.openxmlformats.org/officeDocument/2006/relationships/hyperlink" Target="#pivot!A1"/><Relationship Id="rId1" Type="http://schemas.openxmlformats.org/officeDocument/2006/relationships/hyperlink" Target="#'professional excel dashboard'!A1"/><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hyperlink" Target="#'professional excel dashboard'!A1"/></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hyperlink" Target="#'professional excel dashboard'!A1"/><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xdr:col>
      <xdr:colOff>508000</xdr:colOff>
      <xdr:row>0</xdr:row>
      <xdr:rowOff>38418</xdr:rowOff>
    </xdr:from>
    <xdr:to>
      <xdr:col>24</xdr:col>
      <xdr:colOff>119063</xdr:colOff>
      <xdr:row>30</xdr:row>
      <xdr:rowOff>134938</xdr:rowOff>
    </xdr:to>
    <xdr:sp macro="" textlink="">
      <xdr:nvSpPr>
        <xdr:cNvPr id="2" name="Rectangle: Rounded Corners 1">
          <a:extLst>
            <a:ext uri="{FF2B5EF4-FFF2-40B4-BE49-F238E27FC236}">
              <a16:creationId xmlns:a16="http://schemas.microsoft.com/office/drawing/2014/main" id="{5C7FF3B1-5E75-909E-41BA-CE3202CB5F2E}"/>
            </a:ext>
          </a:extLst>
        </xdr:cNvPr>
        <xdr:cNvSpPr/>
      </xdr:nvSpPr>
      <xdr:spPr>
        <a:xfrm>
          <a:off x="1119188" y="38418"/>
          <a:ext cx="13668375" cy="5573395"/>
        </a:xfrm>
        <a:prstGeom prst="roundRect">
          <a:avLst>
            <a:gd name="adj" fmla="val 5226"/>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54284</xdr:colOff>
      <xdr:row>0</xdr:row>
      <xdr:rowOff>90128</xdr:rowOff>
    </xdr:from>
    <xdr:to>
      <xdr:col>23</xdr:col>
      <xdr:colOff>598129</xdr:colOff>
      <xdr:row>29</xdr:row>
      <xdr:rowOff>172063</xdr:rowOff>
    </xdr:to>
    <xdr:sp macro="" textlink="">
      <xdr:nvSpPr>
        <xdr:cNvPr id="3" name="Rectangle: Rounded Corners 2">
          <a:extLst>
            <a:ext uri="{FF2B5EF4-FFF2-40B4-BE49-F238E27FC236}">
              <a16:creationId xmlns:a16="http://schemas.microsoft.com/office/drawing/2014/main" id="{76CA53DB-4804-42ED-9DF5-DB7681A0BC3C}"/>
            </a:ext>
          </a:extLst>
        </xdr:cNvPr>
        <xdr:cNvSpPr/>
      </xdr:nvSpPr>
      <xdr:spPr>
        <a:xfrm>
          <a:off x="3085897" y="90128"/>
          <a:ext cx="11457651" cy="5309419"/>
        </a:xfrm>
        <a:prstGeom prst="roundRect">
          <a:avLst>
            <a:gd name="adj" fmla="val 5226"/>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23813</xdr:colOff>
      <xdr:row>1</xdr:row>
      <xdr:rowOff>39687</xdr:rowOff>
    </xdr:from>
    <xdr:to>
      <xdr:col>18</xdr:col>
      <xdr:colOff>7938</xdr:colOff>
      <xdr:row>4</xdr:row>
      <xdr:rowOff>71437</xdr:rowOff>
    </xdr:to>
    <xdr:sp macro="" textlink="">
      <xdr:nvSpPr>
        <xdr:cNvPr id="5" name="Rectangle: Rounded Corners 4">
          <a:extLst>
            <a:ext uri="{FF2B5EF4-FFF2-40B4-BE49-F238E27FC236}">
              <a16:creationId xmlns:a16="http://schemas.microsoft.com/office/drawing/2014/main" id="{D7AAB685-447A-A864-2CD7-85760B65A675}"/>
            </a:ext>
          </a:extLst>
        </xdr:cNvPr>
        <xdr:cNvSpPr/>
      </xdr:nvSpPr>
      <xdr:spPr>
        <a:xfrm>
          <a:off x="6135688" y="222250"/>
          <a:ext cx="4873625" cy="579437"/>
        </a:xfrm>
        <a:prstGeom prst="round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i="0">
              <a:ln>
                <a:noFill/>
              </a:ln>
              <a:solidFill>
                <a:schemeClr val="accent3">
                  <a:lumMod val="75000"/>
                </a:schemeClr>
              </a:solidFill>
            </a:rPr>
            <a:t>professional excel dashboard</a:t>
          </a:r>
        </a:p>
      </xdr:txBody>
    </xdr:sp>
    <xdr:clientData/>
  </xdr:twoCellAnchor>
  <xdr:twoCellAnchor>
    <xdr:from>
      <xdr:col>2</xdr:col>
      <xdr:colOff>246064</xdr:colOff>
      <xdr:row>9</xdr:row>
      <xdr:rowOff>63500</xdr:rowOff>
    </xdr:from>
    <xdr:to>
      <xdr:col>4</xdr:col>
      <xdr:colOff>444501</xdr:colOff>
      <xdr:row>12</xdr:row>
      <xdr:rowOff>47625</xdr:rowOff>
    </xdr:to>
    <xdr:sp macro="" textlink="">
      <xdr:nvSpPr>
        <xdr:cNvPr id="10" name="Rectangle: Rounded Corners 9">
          <a:hlinkClick xmlns:r="http://schemas.openxmlformats.org/officeDocument/2006/relationships" r:id="rId1"/>
          <a:extLst>
            <a:ext uri="{FF2B5EF4-FFF2-40B4-BE49-F238E27FC236}">
              <a16:creationId xmlns:a16="http://schemas.microsoft.com/office/drawing/2014/main" id="{281B947B-1AAF-3057-6D04-1890F67712BA}"/>
            </a:ext>
          </a:extLst>
        </xdr:cNvPr>
        <xdr:cNvSpPr/>
      </xdr:nvSpPr>
      <xdr:spPr>
        <a:xfrm>
          <a:off x="1468439" y="1706563"/>
          <a:ext cx="1420812" cy="531812"/>
        </a:xfrm>
        <a:prstGeom prst="roundRect">
          <a:avLst>
            <a:gd name="adj" fmla="val 3607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rgbClr val="00B050"/>
              </a:solidFill>
            </a:rPr>
            <a:t>dashboard</a:t>
          </a:r>
        </a:p>
      </xdr:txBody>
    </xdr:sp>
    <xdr:clientData/>
  </xdr:twoCellAnchor>
  <xdr:twoCellAnchor>
    <xdr:from>
      <xdr:col>2</xdr:col>
      <xdr:colOff>247651</xdr:colOff>
      <xdr:row>13</xdr:row>
      <xdr:rowOff>136525</xdr:rowOff>
    </xdr:from>
    <xdr:to>
      <xdr:col>4</xdr:col>
      <xdr:colOff>446088</xdr:colOff>
      <xdr:row>16</xdr:row>
      <xdr:rowOff>120650</xdr:rowOff>
    </xdr:to>
    <xdr:sp macro="" textlink="">
      <xdr:nvSpPr>
        <xdr:cNvPr id="11" name="Rectangle: Rounded Corners 10">
          <a:hlinkClick xmlns:r="http://schemas.openxmlformats.org/officeDocument/2006/relationships" r:id="rId2"/>
          <a:extLst>
            <a:ext uri="{FF2B5EF4-FFF2-40B4-BE49-F238E27FC236}">
              <a16:creationId xmlns:a16="http://schemas.microsoft.com/office/drawing/2014/main" id="{9E38E3D6-8F93-4953-B900-5E087FB57AFA}"/>
            </a:ext>
          </a:extLst>
        </xdr:cNvPr>
        <xdr:cNvSpPr/>
      </xdr:nvSpPr>
      <xdr:spPr>
        <a:xfrm>
          <a:off x="1470026" y="2509838"/>
          <a:ext cx="1420812" cy="531812"/>
        </a:xfrm>
        <a:prstGeom prst="roundRect">
          <a:avLst>
            <a:gd name="adj" fmla="val 3607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rgbClr val="00B050"/>
              </a:solidFill>
            </a:rPr>
            <a:t>summary</a:t>
          </a:r>
        </a:p>
      </xdr:txBody>
    </xdr:sp>
    <xdr:clientData/>
  </xdr:twoCellAnchor>
  <xdr:twoCellAnchor>
    <xdr:from>
      <xdr:col>2</xdr:col>
      <xdr:colOff>233363</xdr:colOff>
      <xdr:row>17</xdr:row>
      <xdr:rowOff>161925</xdr:rowOff>
    </xdr:from>
    <xdr:to>
      <xdr:col>4</xdr:col>
      <xdr:colOff>431800</xdr:colOff>
      <xdr:row>20</xdr:row>
      <xdr:rowOff>146050</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64A6912E-8C50-4817-A530-2B8770003EDA}"/>
            </a:ext>
          </a:extLst>
        </xdr:cNvPr>
        <xdr:cNvSpPr/>
      </xdr:nvSpPr>
      <xdr:spPr>
        <a:xfrm>
          <a:off x="1455738" y="3265488"/>
          <a:ext cx="1420812" cy="531812"/>
        </a:xfrm>
        <a:prstGeom prst="roundRect">
          <a:avLst>
            <a:gd name="adj" fmla="val 3607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rgbClr val="00B050"/>
              </a:solidFill>
            </a:rPr>
            <a:t>data</a:t>
          </a:r>
        </a:p>
      </xdr:txBody>
    </xdr:sp>
    <xdr:clientData/>
  </xdr:twoCellAnchor>
  <xdr:twoCellAnchor editAs="oneCell">
    <xdr:from>
      <xdr:col>18</xdr:col>
      <xdr:colOff>39688</xdr:colOff>
      <xdr:row>1</xdr:row>
      <xdr:rowOff>39686</xdr:rowOff>
    </xdr:from>
    <xdr:to>
      <xdr:col>23</xdr:col>
      <xdr:colOff>174625</xdr:colOff>
      <xdr:row>6</xdr:row>
      <xdr:rowOff>15875</xdr:rowOff>
    </xdr:to>
    <mc:AlternateContent xmlns:mc="http://schemas.openxmlformats.org/markup-compatibility/2006" xmlns:tsle="http://schemas.microsoft.com/office/drawing/2012/timeslicer">
      <mc:Choice Requires="tsle">
        <xdr:graphicFrame macro="">
          <xdr:nvGraphicFramePr>
            <xdr:cNvPr id="13" name="Date 1">
              <a:extLst>
                <a:ext uri="{FF2B5EF4-FFF2-40B4-BE49-F238E27FC236}">
                  <a16:creationId xmlns:a16="http://schemas.microsoft.com/office/drawing/2014/main" id="{44726DFF-C871-4782-A51B-4C5276D51B85}"/>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0953494" y="219944"/>
              <a:ext cx="3166550" cy="87747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5</xdr:col>
      <xdr:colOff>150812</xdr:colOff>
      <xdr:row>6</xdr:row>
      <xdr:rowOff>47626</xdr:rowOff>
    </xdr:from>
    <xdr:to>
      <xdr:col>23</xdr:col>
      <xdr:colOff>261937</xdr:colOff>
      <xdr:row>10</xdr:row>
      <xdr:rowOff>15876</xdr:rowOff>
    </xdr:to>
    <mc:AlternateContent xmlns:mc="http://schemas.openxmlformats.org/markup-compatibility/2006" xmlns:a14="http://schemas.microsoft.com/office/drawing/2010/main">
      <mc:Choice Requires="a14">
        <xdr:graphicFrame macro="">
          <xdr:nvGraphicFramePr>
            <xdr:cNvPr id="14" name="Item 1">
              <a:extLst>
                <a:ext uri="{FF2B5EF4-FFF2-40B4-BE49-F238E27FC236}">
                  <a16:creationId xmlns:a16="http://schemas.microsoft.com/office/drawing/2014/main" id="{8F974C71-C25D-4583-A250-C38A1E516BAC}"/>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3182425" y="1129174"/>
              <a:ext cx="11024931" cy="6892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246062</xdr:colOff>
      <xdr:row>1</xdr:row>
      <xdr:rowOff>47944</xdr:rowOff>
    </xdr:from>
    <xdr:to>
      <xdr:col>9</xdr:col>
      <xdr:colOff>587376</xdr:colOff>
      <xdr:row>6</xdr:row>
      <xdr:rowOff>23814</xdr:rowOff>
    </xdr:to>
    <mc:AlternateContent xmlns:mc="http://schemas.openxmlformats.org/markup-compatibility/2006" xmlns:a14="http://schemas.microsoft.com/office/drawing/2010/main">
      <mc:Choice Requires="a14">
        <xdr:graphicFrame macro="">
          <xdr:nvGraphicFramePr>
            <xdr:cNvPr id="15" name="Region 1">
              <a:extLst>
                <a:ext uri="{FF2B5EF4-FFF2-40B4-BE49-F238E27FC236}">
                  <a16:creationId xmlns:a16="http://schemas.microsoft.com/office/drawing/2014/main" id="{0B21225A-BE68-439B-9DE0-DDCBE3A74DE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277675" y="228202"/>
              <a:ext cx="2766604" cy="877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90129</xdr:colOff>
      <xdr:row>10</xdr:row>
      <xdr:rowOff>57356</xdr:rowOff>
    </xdr:from>
    <xdr:to>
      <xdr:col>8</xdr:col>
      <xdr:colOff>32774</xdr:colOff>
      <xdr:row>14</xdr:row>
      <xdr:rowOff>106518</xdr:rowOff>
    </xdr:to>
    <xdr:sp macro="" textlink="">
      <xdr:nvSpPr>
        <xdr:cNvPr id="47" name="Rectangle: Rounded Corners 46">
          <a:extLst>
            <a:ext uri="{FF2B5EF4-FFF2-40B4-BE49-F238E27FC236}">
              <a16:creationId xmlns:a16="http://schemas.microsoft.com/office/drawing/2014/main" id="{D7E48898-D9FD-B9E5-1038-E6EF5FBCA791}"/>
            </a:ext>
          </a:extLst>
        </xdr:cNvPr>
        <xdr:cNvSpPr/>
      </xdr:nvSpPr>
      <xdr:spPr>
        <a:xfrm>
          <a:off x="3121742" y="1859937"/>
          <a:ext cx="1761613" cy="770194"/>
        </a:xfrm>
        <a:prstGeom prst="roundRect">
          <a:avLst>
            <a:gd name="adj" fmla="val 2491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400" b="1">
              <a:solidFill>
                <a:schemeClr val="tx1"/>
              </a:solidFill>
            </a:rPr>
            <a:t>total revanue</a:t>
          </a:r>
        </a:p>
      </xdr:txBody>
    </xdr:sp>
    <xdr:clientData/>
  </xdr:twoCellAnchor>
  <xdr:twoCellAnchor>
    <xdr:from>
      <xdr:col>6</xdr:col>
      <xdr:colOff>106515</xdr:colOff>
      <xdr:row>12</xdr:row>
      <xdr:rowOff>0</xdr:rowOff>
    </xdr:from>
    <xdr:to>
      <xdr:col>7</xdr:col>
      <xdr:colOff>467031</xdr:colOff>
      <xdr:row>13</xdr:row>
      <xdr:rowOff>155677</xdr:rowOff>
    </xdr:to>
    <xdr:sp macro="" textlink="pivot!B11">
      <xdr:nvSpPr>
        <xdr:cNvPr id="48" name="TextBox 47">
          <a:extLst>
            <a:ext uri="{FF2B5EF4-FFF2-40B4-BE49-F238E27FC236}">
              <a16:creationId xmlns:a16="http://schemas.microsoft.com/office/drawing/2014/main" id="{04718252-6F7D-0BCE-FECA-4127BFC7AFC9}"/>
            </a:ext>
          </a:extLst>
        </xdr:cNvPr>
        <xdr:cNvSpPr txBox="1"/>
      </xdr:nvSpPr>
      <xdr:spPr>
        <a:xfrm>
          <a:off x="3744450" y="2163097"/>
          <a:ext cx="966839" cy="3359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BDBFD5B-E663-4B0B-B900-9B47F1583F3D}" type="TxLink">
            <a:rPr lang="en-US" sz="1100" b="0" i="0" u="none" strike="noStrike">
              <a:solidFill>
                <a:srgbClr val="000000"/>
              </a:solidFill>
              <a:latin typeface="Aptos Narrow"/>
            </a:rPr>
            <a:pPr/>
            <a:t>484900</a:t>
          </a:fld>
          <a:endParaRPr lang="en-IN" sz="1100"/>
        </a:p>
      </xdr:txBody>
    </xdr:sp>
    <xdr:clientData/>
  </xdr:twoCellAnchor>
  <xdr:twoCellAnchor>
    <xdr:from>
      <xdr:col>8</xdr:col>
      <xdr:colOff>119626</xdr:colOff>
      <xdr:row>10</xdr:row>
      <xdr:rowOff>62272</xdr:rowOff>
    </xdr:from>
    <xdr:to>
      <xdr:col>11</xdr:col>
      <xdr:colOff>62272</xdr:colOff>
      <xdr:row>14</xdr:row>
      <xdr:rowOff>111434</xdr:rowOff>
    </xdr:to>
    <xdr:sp macro="" textlink="">
      <xdr:nvSpPr>
        <xdr:cNvPr id="52" name="Rectangle: Rounded Corners 51">
          <a:extLst>
            <a:ext uri="{FF2B5EF4-FFF2-40B4-BE49-F238E27FC236}">
              <a16:creationId xmlns:a16="http://schemas.microsoft.com/office/drawing/2014/main" id="{8E8555E9-4B14-4FDD-BB84-732CA98F8B76}"/>
            </a:ext>
          </a:extLst>
        </xdr:cNvPr>
        <xdr:cNvSpPr/>
      </xdr:nvSpPr>
      <xdr:spPr>
        <a:xfrm>
          <a:off x="4970207" y="1864853"/>
          <a:ext cx="1761613" cy="770194"/>
        </a:xfrm>
        <a:prstGeom prst="roundRect">
          <a:avLst>
            <a:gd name="adj" fmla="val 2491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400" b="1">
              <a:solidFill>
                <a:schemeClr val="tx1"/>
              </a:solidFill>
            </a:rPr>
            <a:t>total</a:t>
          </a:r>
          <a:r>
            <a:rPr lang="en-IN" sz="1400" b="1" baseline="0">
              <a:solidFill>
                <a:schemeClr val="tx1"/>
              </a:solidFill>
            </a:rPr>
            <a:t> quantity sold</a:t>
          </a:r>
          <a:endParaRPr lang="en-IN" sz="1400" b="1">
            <a:solidFill>
              <a:schemeClr val="tx1"/>
            </a:solidFill>
          </a:endParaRPr>
        </a:p>
      </xdr:txBody>
    </xdr:sp>
    <xdr:clientData/>
  </xdr:twoCellAnchor>
  <xdr:twoCellAnchor>
    <xdr:from>
      <xdr:col>9</xdr:col>
      <xdr:colOff>204838</xdr:colOff>
      <xdr:row>12</xdr:row>
      <xdr:rowOff>32772</xdr:rowOff>
    </xdr:from>
    <xdr:to>
      <xdr:col>11</xdr:col>
      <xdr:colOff>0</xdr:colOff>
      <xdr:row>14</xdr:row>
      <xdr:rowOff>49159</xdr:rowOff>
    </xdr:to>
    <xdr:sp macro="" textlink="pivot!B12">
      <xdr:nvSpPr>
        <xdr:cNvPr id="53" name="TextBox 52">
          <a:extLst>
            <a:ext uri="{FF2B5EF4-FFF2-40B4-BE49-F238E27FC236}">
              <a16:creationId xmlns:a16="http://schemas.microsoft.com/office/drawing/2014/main" id="{F300D166-0FA9-A665-3C52-DCF586C782BF}"/>
            </a:ext>
          </a:extLst>
        </xdr:cNvPr>
        <xdr:cNvSpPr txBox="1"/>
      </xdr:nvSpPr>
      <xdr:spPr>
        <a:xfrm>
          <a:off x="5661741" y="2195869"/>
          <a:ext cx="1007807" cy="37690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791C381-F9B9-4678-A13D-FC62F8EB0DC5}" type="TxLink">
            <a:rPr lang="en-US" sz="1100" b="0" i="0" u="none" strike="noStrike">
              <a:solidFill>
                <a:srgbClr val="000000"/>
              </a:solidFill>
              <a:latin typeface="Aptos Narrow"/>
            </a:rPr>
            <a:pPr/>
            <a:t>369</a:t>
          </a:fld>
          <a:endParaRPr lang="en-IN" sz="1100"/>
        </a:p>
      </xdr:txBody>
    </xdr:sp>
    <xdr:clientData/>
  </xdr:twoCellAnchor>
  <xdr:twoCellAnchor>
    <xdr:from>
      <xdr:col>5</xdr:col>
      <xdr:colOff>188452</xdr:colOff>
      <xdr:row>15</xdr:row>
      <xdr:rowOff>32775</xdr:rowOff>
    </xdr:from>
    <xdr:to>
      <xdr:col>11</xdr:col>
      <xdr:colOff>229420</xdr:colOff>
      <xdr:row>29</xdr:row>
      <xdr:rowOff>32775</xdr:rowOff>
    </xdr:to>
    <xdr:sp macro="" textlink="">
      <xdr:nvSpPr>
        <xdr:cNvPr id="54" name="Rectangle: Rounded Corners 53">
          <a:extLst>
            <a:ext uri="{FF2B5EF4-FFF2-40B4-BE49-F238E27FC236}">
              <a16:creationId xmlns:a16="http://schemas.microsoft.com/office/drawing/2014/main" id="{F33862E2-9E21-7A42-814B-82935A0778BC}"/>
            </a:ext>
          </a:extLst>
        </xdr:cNvPr>
        <xdr:cNvSpPr/>
      </xdr:nvSpPr>
      <xdr:spPr>
        <a:xfrm>
          <a:off x="3220065" y="2736646"/>
          <a:ext cx="3678903" cy="2523613"/>
        </a:xfrm>
        <a:prstGeom prst="roundRect">
          <a:avLst>
            <a:gd name="adj" fmla="val 841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254001</xdr:colOff>
      <xdr:row>10</xdr:row>
      <xdr:rowOff>29498</xdr:rowOff>
    </xdr:from>
    <xdr:to>
      <xdr:col>17</xdr:col>
      <xdr:colOff>557161</xdr:colOff>
      <xdr:row>19</xdr:row>
      <xdr:rowOff>172066</xdr:rowOff>
    </xdr:to>
    <xdr:sp macro="" textlink="">
      <xdr:nvSpPr>
        <xdr:cNvPr id="55" name="Rectangle: Rounded Corners 54">
          <a:extLst>
            <a:ext uri="{FF2B5EF4-FFF2-40B4-BE49-F238E27FC236}">
              <a16:creationId xmlns:a16="http://schemas.microsoft.com/office/drawing/2014/main" id="{CBDED704-D6EA-4CBD-966D-40DE47F69634}"/>
            </a:ext>
          </a:extLst>
        </xdr:cNvPr>
        <xdr:cNvSpPr/>
      </xdr:nvSpPr>
      <xdr:spPr>
        <a:xfrm>
          <a:off x="6923549" y="1832079"/>
          <a:ext cx="3941096" cy="1764890"/>
        </a:xfrm>
        <a:prstGeom prst="roundRect">
          <a:avLst>
            <a:gd name="adj" fmla="val 645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98323</xdr:colOff>
      <xdr:row>10</xdr:row>
      <xdr:rowOff>155678</xdr:rowOff>
    </xdr:from>
    <xdr:to>
      <xdr:col>23</xdr:col>
      <xdr:colOff>442453</xdr:colOff>
      <xdr:row>28</xdr:row>
      <xdr:rowOff>114711</xdr:rowOff>
    </xdr:to>
    <xdr:sp macro="" textlink="">
      <xdr:nvSpPr>
        <xdr:cNvPr id="56" name="Rectangle: Rounded Corners 55">
          <a:extLst>
            <a:ext uri="{FF2B5EF4-FFF2-40B4-BE49-F238E27FC236}">
              <a16:creationId xmlns:a16="http://schemas.microsoft.com/office/drawing/2014/main" id="{7E2C44B5-3902-4D5A-871A-E4C4C7682A44}"/>
            </a:ext>
          </a:extLst>
        </xdr:cNvPr>
        <xdr:cNvSpPr/>
      </xdr:nvSpPr>
      <xdr:spPr>
        <a:xfrm>
          <a:off x="11012129" y="1958259"/>
          <a:ext cx="3375743" cy="3203678"/>
        </a:xfrm>
        <a:prstGeom prst="roundRect">
          <a:avLst>
            <a:gd name="adj" fmla="val 285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303161</xdr:colOff>
      <xdr:row>20</xdr:row>
      <xdr:rowOff>65549</xdr:rowOff>
    </xdr:from>
    <xdr:to>
      <xdr:col>18</xdr:col>
      <xdr:colOff>16388</xdr:colOff>
      <xdr:row>29</xdr:row>
      <xdr:rowOff>131097</xdr:rowOff>
    </xdr:to>
    <xdr:sp macro="" textlink="">
      <xdr:nvSpPr>
        <xdr:cNvPr id="57" name="Rectangle: Rounded Corners 56">
          <a:extLst>
            <a:ext uri="{FF2B5EF4-FFF2-40B4-BE49-F238E27FC236}">
              <a16:creationId xmlns:a16="http://schemas.microsoft.com/office/drawing/2014/main" id="{ED21121E-4646-430A-82F2-B9873C3C733B}"/>
            </a:ext>
          </a:extLst>
        </xdr:cNvPr>
        <xdr:cNvSpPr/>
      </xdr:nvSpPr>
      <xdr:spPr>
        <a:xfrm>
          <a:off x="6972709" y="3670710"/>
          <a:ext cx="3957485" cy="1687871"/>
        </a:xfrm>
        <a:prstGeom prst="roundRect">
          <a:avLst>
            <a:gd name="adj" fmla="val 647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229420</xdr:colOff>
      <xdr:row>15</xdr:row>
      <xdr:rowOff>65549</xdr:rowOff>
    </xdr:from>
    <xdr:to>
      <xdr:col>11</xdr:col>
      <xdr:colOff>122905</xdr:colOff>
      <xdr:row>28</xdr:row>
      <xdr:rowOff>106516</xdr:rowOff>
    </xdr:to>
    <xdr:graphicFrame macro="">
      <xdr:nvGraphicFramePr>
        <xdr:cNvPr id="58" name="Chart 57">
          <a:extLst>
            <a:ext uri="{FF2B5EF4-FFF2-40B4-BE49-F238E27FC236}">
              <a16:creationId xmlns:a16="http://schemas.microsoft.com/office/drawing/2014/main" id="{34920E99-5F87-4B45-8F85-6A41D273DD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270387</xdr:colOff>
      <xdr:row>11</xdr:row>
      <xdr:rowOff>57354</xdr:rowOff>
    </xdr:from>
    <xdr:to>
      <xdr:col>23</xdr:col>
      <xdr:colOff>335935</xdr:colOff>
      <xdr:row>27</xdr:row>
      <xdr:rowOff>131097</xdr:rowOff>
    </xdr:to>
    <xdr:graphicFrame macro="">
      <xdr:nvGraphicFramePr>
        <xdr:cNvPr id="59" name="Chart 58">
          <a:extLst>
            <a:ext uri="{FF2B5EF4-FFF2-40B4-BE49-F238E27FC236}">
              <a16:creationId xmlns:a16="http://schemas.microsoft.com/office/drawing/2014/main" id="{B395C59B-2466-41EA-A53A-546D18E4FE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254001</xdr:colOff>
      <xdr:row>10</xdr:row>
      <xdr:rowOff>29498</xdr:rowOff>
    </xdr:from>
    <xdr:to>
      <xdr:col>17</xdr:col>
      <xdr:colOff>565355</xdr:colOff>
      <xdr:row>20</xdr:row>
      <xdr:rowOff>24581</xdr:rowOff>
    </xdr:to>
    <xdr:graphicFrame macro="">
      <xdr:nvGraphicFramePr>
        <xdr:cNvPr id="4" name="Chart 3">
          <a:extLst>
            <a:ext uri="{FF2B5EF4-FFF2-40B4-BE49-F238E27FC236}">
              <a16:creationId xmlns:a16="http://schemas.microsoft.com/office/drawing/2014/main" id="{8260EFEB-0B6F-430B-B598-655AC0AD8C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245808</xdr:colOff>
      <xdr:row>20</xdr:row>
      <xdr:rowOff>90129</xdr:rowOff>
    </xdr:from>
    <xdr:to>
      <xdr:col>17</xdr:col>
      <xdr:colOff>573548</xdr:colOff>
      <xdr:row>29</xdr:row>
      <xdr:rowOff>147484</xdr:rowOff>
    </xdr:to>
    <xdr:graphicFrame macro="">
      <xdr:nvGraphicFramePr>
        <xdr:cNvPr id="6" name="Chart 5">
          <a:extLst>
            <a:ext uri="{FF2B5EF4-FFF2-40B4-BE49-F238E27FC236}">
              <a16:creationId xmlns:a16="http://schemas.microsoft.com/office/drawing/2014/main" id="{F7E99789-1B05-4965-9E4E-EAC91CD542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236220</xdr:colOff>
      <xdr:row>0</xdr:row>
      <xdr:rowOff>38100</xdr:rowOff>
    </xdr:from>
    <xdr:to>
      <xdr:col>4</xdr:col>
      <xdr:colOff>289560</xdr:colOff>
      <xdr:row>1</xdr:row>
      <xdr:rowOff>152400</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2D8B326E-80D4-E195-3AD6-24CA5CAA7351}"/>
            </a:ext>
          </a:extLst>
        </xdr:cNvPr>
        <xdr:cNvSpPr/>
      </xdr:nvSpPr>
      <xdr:spPr>
        <a:xfrm>
          <a:off x="3162300" y="38100"/>
          <a:ext cx="914400" cy="297180"/>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ln>
                <a:noFill/>
              </a:ln>
              <a:solidFill>
                <a:schemeClr val="tx1"/>
              </a:solidFill>
            </a:rPr>
            <a:t>back</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198120</xdr:colOff>
      <xdr:row>0</xdr:row>
      <xdr:rowOff>22860</xdr:rowOff>
    </xdr:from>
    <xdr:to>
      <xdr:col>1</xdr:col>
      <xdr:colOff>228600</xdr:colOff>
      <xdr:row>1</xdr:row>
      <xdr:rowOff>175260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8A5098B9-85F6-6AA3-3614-5D654E0A64DA}"/>
            </a:ext>
          </a:extLst>
        </xdr:cNvPr>
        <xdr:cNvSpPr/>
      </xdr:nvSpPr>
      <xdr:spPr>
        <a:xfrm>
          <a:off x="198120" y="22860"/>
          <a:ext cx="1036320" cy="335280"/>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back</a:t>
          </a:r>
        </a:p>
      </xdr:txBody>
    </xdr:sp>
    <xdr:clientData/>
  </xdr:twoCellAnchor>
  <xdr:twoCellAnchor editAs="oneCell">
    <xdr:from>
      <xdr:col>5</xdr:col>
      <xdr:colOff>601980</xdr:colOff>
      <xdr:row>13</xdr:row>
      <xdr:rowOff>53340</xdr:rowOff>
    </xdr:from>
    <xdr:to>
      <xdr:col>10</xdr:col>
      <xdr:colOff>403860</xdr:colOff>
      <xdr:row>19</xdr:row>
      <xdr:rowOff>144780</xdr:rowOff>
    </xdr:to>
    <mc:AlternateContent xmlns:mc="http://schemas.openxmlformats.org/markup-compatibility/2006" xmlns:tsle="http://schemas.microsoft.com/office/drawing/2012/timeslicer">
      <mc:Choice Requires="tsle">
        <xdr:graphicFrame macro="">
          <xdr:nvGraphicFramePr>
            <xdr:cNvPr id="3" name="Date">
              <a:extLst>
                <a:ext uri="{FF2B5EF4-FFF2-40B4-BE49-F238E27FC236}">
                  <a16:creationId xmlns:a16="http://schemas.microsoft.com/office/drawing/2014/main" id="{E13C6A16-1A8D-784F-AC03-D56F349D428A}"/>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4937760" y="2430780"/>
              <a:ext cx="3657600" cy="11887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15</xdr:col>
      <xdr:colOff>160020</xdr:colOff>
      <xdr:row>1</xdr:row>
      <xdr:rowOff>152400</xdr:rowOff>
    </xdr:from>
    <xdr:to>
      <xdr:col>18</xdr:col>
      <xdr:colOff>160020</xdr:colOff>
      <xdr:row>15</xdr:row>
      <xdr:rowOff>173355</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F7899128-7106-1464-C8A9-7135EE94484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468100" y="3352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594360</xdr:colOff>
      <xdr:row>2</xdr:row>
      <xdr:rowOff>30480</xdr:rowOff>
    </xdr:from>
    <xdr:to>
      <xdr:col>14</xdr:col>
      <xdr:colOff>182880</xdr:colOff>
      <xdr:row>16</xdr:row>
      <xdr:rowOff>51435</xdr:rowOff>
    </xdr:to>
    <mc:AlternateContent xmlns:mc="http://schemas.openxmlformats.org/markup-compatibility/2006" xmlns:a14="http://schemas.microsoft.com/office/drawing/2010/main">
      <mc:Choice Requires="a14">
        <xdr:graphicFrame macro="">
          <xdr:nvGraphicFramePr>
            <xdr:cNvPr id="5" name="Item">
              <a:extLst>
                <a:ext uri="{FF2B5EF4-FFF2-40B4-BE49-F238E27FC236}">
                  <a16:creationId xmlns:a16="http://schemas.microsoft.com/office/drawing/2014/main" id="{6DB2BD41-3F73-C94D-76C2-959DA1239CF5}"/>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9464040" y="3962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17</xdr:row>
      <xdr:rowOff>57150</xdr:rowOff>
    </xdr:from>
    <xdr:to>
      <xdr:col>5</xdr:col>
      <xdr:colOff>236220</xdr:colOff>
      <xdr:row>32</xdr:row>
      <xdr:rowOff>57150</xdr:rowOff>
    </xdr:to>
    <xdr:graphicFrame macro="">
      <xdr:nvGraphicFramePr>
        <xdr:cNvPr id="6" name="Chart 5">
          <a:extLst>
            <a:ext uri="{FF2B5EF4-FFF2-40B4-BE49-F238E27FC236}">
              <a16:creationId xmlns:a16="http://schemas.microsoft.com/office/drawing/2014/main" id="{891299A1-80C2-D8DD-83FA-549CE671E2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53340</xdr:colOff>
      <xdr:row>21</xdr:row>
      <xdr:rowOff>64770</xdr:rowOff>
    </xdr:from>
    <xdr:to>
      <xdr:col>12</xdr:col>
      <xdr:colOff>91440</xdr:colOff>
      <xdr:row>36</xdr:row>
      <xdr:rowOff>64770</xdr:rowOff>
    </xdr:to>
    <xdr:graphicFrame macro="">
      <xdr:nvGraphicFramePr>
        <xdr:cNvPr id="7" name="Chart 6">
          <a:extLst>
            <a:ext uri="{FF2B5EF4-FFF2-40B4-BE49-F238E27FC236}">
              <a16:creationId xmlns:a16="http://schemas.microsoft.com/office/drawing/2014/main" id="{AD7DB3B0-C352-F77A-F617-059BF865EA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281940</xdr:colOff>
      <xdr:row>16</xdr:row>
      <xdr:rowOff>167640</xdr:rowOff>
    </xdr:from>
    <xdr:to>
      <xdr:col>17</xdr:col>
      <xdr:colOff>533400</xdr:colOff>
      <xdr:row>27</xdr:row>
      <xdr:rowOff>30480</xdr:rowOff>
    </xdr:to>
    <xdr:graphicFrame macro="">
      <xdr:nvGraphicFramePr>
        <xdr:cNvPr id="8" name="Chart 7">
          <a:extLst>
            <a:ext uri="{FF2B5EF4-FFF2-40B4-BE49-F238E27FC236}">
              <a16:creationId xmlns:a16="http://schemas.microsoft.com/office/drawing/2014/main" id="{45B785FD-C6E4-8491-C07B-7787813999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487680</xdr:colOff>
      <xdr:row>27</xdr:row>
      <xdr:rowOff>121920</xdr:rowOff>
    </xdr:from>
    <xdr:to>
      <xdr:col>18</xdr:col>
      <xdr:colOff>312420</xdr:colOff>
      <xdr:row>38</xdr:row>
      <xdr:rowOff>76200</xdr:rowOff>
    </xdr:to>
    <xdr:graphicFrame macro="">
      <xdr:nvGraphicFramePr>
        <xdr:cNvPr id="9" name="Chart 8">
          <a:extLst>
            <a:ext uri="{FF2B5EF4-FFF2-40B4-BE49-F238E27FC236}">
              <a16:creationId xmlns:a16="http://schemas.microsoft.com/office/drawing/2014/main" id="{93307359-A194-3192-64BE-14D8394094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aj saini" refreshedDate="46301.069644675925" createdVersion="8" refreshedVersion="8" minRefreshableVersion="3" recordCount="500" xr:uid="{B14E11AF-28D4-443C-818A-3F7DEE1361E9}">
  <cacheSource type="worksheet">
    <worksheetSource ref="A4:H504" sheet="data"/>
  </cacheSource>
  <cacheFields count="11">
    <cacheField name="Sl No" numFmtId="0">
      <sharedItems containsSemiMixedTypes="0" containsString="0" containsNumber="1" containsInteger="1" minValue="1" maxValue="500"/>
    </cacheField>
    <cacheField name="Date" numFmtId="14">
      <sharedItems containsSemiMixedTypes="0" containsNonDate="0" containsDate="1" containsString="0" minDate="2025-09-16T00:00:00" maxDate="2027-01-29T00:00:00" count="5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d v="2027-01-01T00:00:00"/>
        <d v="2027-01-02T00:00:00"/>
        <d v="2027-01-03T00:00:00"/>
        <d v="2027-01-04T00:00:00"/>
        <d v="2027-01-05T00:00:00"/>
        <d v="2027-01-06T00:00:00"/>
        <d v="2027-01-07T00:00:00"/>
        <d v="2027-01-08T00:00:00"/>
        <d v="2027-01-09T00:00:00"/>
        <d v="2027-01-10T00:00:00"/>
        <d v="2027-01-11T00:00:00"/>
        <d v="2027-01-12T00:00:00"/>
        <d v="2027-01-13T00:00:00"/>
        <d v="2027-01-14T00:00:00"/>
        <d v="2027-01-15T00:00:00"/>
        <d v="2027-01-16T00:00:00"/>
        <d v="2027-01-17T00:00:00"/>
        <d v="2027-01-18T00:00:00"/>
        <d v="2027-01-19T00:00:00"/>
        <d v="2027-01-20T00:00:00"/>
        <d v="2027-01-21T00:00:00"/>
        <d v="2027-01-22T00:00:00"/>
        <d v="2027-01-23T00:00:00"/>
        <d v="2027-01-24T00:00:00"/>
        <d v="2027-01-25T00:00:00"/>
        <d v="2027-01-26T00:00:00"/>
        <d v="2027-01-27T00:00:00"/>
        <d v="2027-01-28T00:00:00"/>
      </sharedItems>
      <fieldGroup par="10"/>
    </cacheField>
    <cacheField name="Customer" numFmtId="0">
      <sharedItems/>
    </cacheField>
    <cacheField name="Region" numFmtId="0">
      <sharedItems count="4">
        <s v="West"/>
        <s v="East"/>
        <s v="North"/>
        <s v="South"/>
      </sharedItems>
    </cacheField>
    <cacheField name="Item" numFmtId="0">
      <sharedItems count="7">
        <s v="USB Drive"/>
        <s v="Charger"/>
        <s v="Pen Set"/>
        <s v="Chair"/>
        <s v="Desk Lamp"/>
        <s v="Notebook"/>
        <s v="Backpack"/>
      </sharedItems>
    </cacheField>
    <cacheField name="Qty" numFmtId="0">
      <sharedItems containsSemiMixedTypes="0" containsString="0" containsNumber="1" containsInteger="1" minValue="1" maxValue="10"/>
    </cacheField>
    <cacheField name="Price" numFmtId="0">
      <sharedItems containsSemiMixedTypes="0" containsString="0" containsNumber="1" containsInteger="1" minValue="50" maxValue="8000"/>
    </cacheField>
    <cacheField name="Amount" numFmtId="0">
      <sharedItems containsSemiMixedTypes="0" containsString="0" containsNumber="1" containsInteger="1" minValue="50" maxValue="80000"/>
    </cacheField>
    <cacheField name="Months (Date)" numFmtId="0" databaseField="0">
      <fieldGroup base="1">
        <rangePr groupBy="months" startDate="2025-09-16T00:00:00" endDate="2027-01-29T00:00:00"/>
        <groupItems count="14">
          <s v="&lt;16-09-2025"/>
          <s v="Jan"/>
          <s v="Feb"/>
          <s v="Mar"/>
          <s v="Apr"/>
          <s v="May"/>
          <s v="Jun"/>
          <s v="Jul"/>
          <s v="Aug"/>
          <s v="Sep"/>
          <s v="Oct"/>
          <s v="Nov"/>
          <s v="Dec"/>
          <s v="&gt;29-01-2027"/>
        </groupItems>
      </fieldGroup>
    </cacheField>
    <cacheField name="Quarters (Date)" numFmtId="0" databaseField="0">
      <fieldGroup base="1">
        <rangePr groupBy="quarters" startDate="2025-09-16T00:00:00" endDate="2027-01-29T00:00:00"/>
        <groupItems count="6">
          <s v="&lt;16-09-2025"/>
          <s v="Qtr1"/>
          <s v="Qtr2"/>
          <s v="Qtr3"/>
          <s v="Qtr4"/>
          <s v="&gt;29-01-2027"/>
        </groupItems>
      </fieldGroup>
    </cacheField>
    <cacheField name="Years (Date)" numFmtId="0" databaseField="0">
      <fieldGroup base="1">
        <rangePr groupBy="years" startDate="2025-09-16T00:00:00" endDate="2027-01-29T00:00:00"/>
        <groupItems count="5">
          <s v="&lt;16-09-2025"/>
          <s v="2025"/>
          <s v="2026"/>
          <s v="2027"/>
          <s v="&gt;29-01-2027"/>
        </groupItems>
      </fieldGroup>
    </cacheField>
  </cacheFields>
  <extLst>
    <ext xmlns:x14="http://schemas.microsoft.com/office/spreadsheetml/2009/9/main" uri="{725AE2AE-9491-48be-B2B4-4EB974FC3084}">
      <x14:pivotCacheDefinition pivotCacheId="1813241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x v="0"/>
    <s v="Maria Angelica"/>
    <x v="0"/>
    <x v="0"/>
    <n v="1"/>
    <n v="500"/>
    <n v="500"/>
  </r>
  <r>
    <n v="2"/>
    <x v="1"/>
    <s v="Lukas MÃ¼ller"/>
    <x v="1"/>
    <x v="1"/>
    <n v="4"/>
    <n v="50"/>
    <n v="200"/>
  </r>
  <r>
    <n v="3"/>
    <x v="2"/>
    <s v="Mohammad Ali"/>
    <x v="0"/>
    <x v="2"/>
    <n v="6"/>
    <n v="8000"/>
    <n v="48000"/>
  </r>
  <r>
    <n v="4"/>
    <x v="3"/>
    <s v="Lukas MÃ¼ller"/>
    <x v="1"/>
    <x v="3"/>
    <n v="1"/>
    <n v="50"/>
    <n v="50"/>
  </r>
  <r>
    <n v="5"/>
    <x v="4"/>
    <s v="Ava Jenkins"/>
    <x v="2"/>
    <x v="3"/>
    <n v="10"/>
    <n v="8000"/>
    <n v="80000"/>
  </r>
  <r>
    <n v="6"/>
    <x v="5"/>
    <s v="Ethan Lee"/>
    <x v="0"/>
    <x v="4"/>
    <n v="6"/>
    <n v="120"/>
    <n v="720"/>
  </r>
  <r>
    <n v="7"/>
    <x v="6"/>
    <s v="Olivia Brown"/>
    <x v="1"/>
    <x v="1"/>
    <n v="2"/>
    <n v="50"/>
    <n v="100"/>
  </r>
  <r>
    <n v="8"/>
    <x v="7"/>
    <s v="Ethan Lee"/>
    <x v="1"/>
    <x v="5"/>
    <n v="3"/>
    <n v="50"/>
    <n v="150"/>
  </r>
  <r>
    <n v="9"/>
    <x v="8"/>
    <s v="Ramesh Kumar"/>
    <x v="1"/>
    <x v="1"/>
    <n v="3"/>
    <n v="100"/>
    <n v="300"/>
  </r>
  <r>
    <n v="10"/>
    <x v="9"/>
    <s v="Mohammad Ali"/>
    <x v="2"/>
    <x v="0"/>
    <n v="9"/>
    <n v="600"/>
    <n v="5400"/>
  </r>
  <r>
    <n v="11"/>
    <x v="10"/>
    <s v="Yui Nakamura"/>
    <x v="2"/>
    <x v="1"/>
    <n v="10"/>
    <n v="500"/>
    <n v="5000"/>
  </r>
  <r>
    <n v="12"/>
    <x v="11"/>
    <s v="Emily Johnson"/>
    <x v="2"/>
    <x v="4"/>
    <n v="10"/>
    <n v="230"/>
    <n v="2300"/>
  </r>
  <r>
    <n v="13"/>
    <x v="12"/>
    <s v="Yui Nakamura"/>
    <x v="2"/>
    <x v="4"/>
    <n v="5"/>
    <n v="120"/>
    <n v="600"/>
  </r>
  <r>
    <n v="14"/>
    <x v="13"/>
    <s v="Fatima Al Mak"/>
    <x v="1"/>
    <x v="1"/>
    <n v="7"/>
    <n v="100"/>
    <n v="700"/>
  </r>
  <r>
    <n v="15"/>
    <x v="14"/>
    <s v="Lukas MÃ¼ller"/>
    <x v="0"/>
    <x v="4"/>
    <n v="8"/>
    <n v="230"/>
    <n v="1840"/>
  </r>
  <r>
    <n v="16"/>
    <x v="15"/>
    <s v="Olivia Brown"/>
    <x v="3"/>
    <x v="3"/>
    <n v="4"/>
    <n v="230"/>
    <n v="920"/>
  </r>
  <r>
    <n v="17"/>
    <x v="16"/>
    <s v="Ramesh Kumar"/>
    <x v="2"/>
    <x v="5"/>
    <n v="4"/>
    <n v="600"/>
    <n v="2400"/>
  </r>
  <r>
    <n v="18"/>
    <x v="17"/>
    <s v="Mohammad Ali"/>
    <x v="0"/>
    <x v="0"/>
    <n v="2"/>
    <n v="600"/>
    <n v="1200"/>
  </r>
  <r>
    <n v="19"/>
    <x v="18"/>
    <s v="Olivia Brown"/>
    <x v="2"/>
    <x v="5"/>
    <n v="8"/>
    <n v="230"/>
    <n v="1840"/>
  </r>
  <r>
    <n v="20"/>
    <x v="19"/>
    <s v="Lukas MÃ¼ller"/>
    <x v="2"/>
    <x v="2"/>
    <n v="2"/>
    <n v="120"/>
    <n v="240"/>
  </r>
  <r>
    <n v="21"/>
    <x v="20"/>
    <s v="Fatima Al Mak"/>
    <x v="3"/>
    <x v="0"/>
    <n v="7"/>
    <n v="600"/>
    <n v="4200"/>
  </r>
  <r>
    <n v="22"/>
    <x v="21"/>
    <s v="Ava Jenkins"/>
    <x v="3"/>
    <x v="4"/>
    <n v="1"/>
    <n v="50"/>
    <n v="50"/>
  </r>
  <r>
    <n v="23"/>
    <x v="22"/>
    <s v="Mohammad Ali"/>
    <x v="0"/>
    <x v="5"/>
    <n v="6"/>
    <n v="230"/>
    <n v="1380"/>
  </r>
  <r>
    <n v="24"/>
    <x v="23"/>
    <s v="Mohammad Ali"/>
    <x v="0"/>
    <x v="6"/>
    <n v="6"/>
    <n v="50"/>
    <n v="300"/>
  </r>
  <r>
    <n v="25"/>
    <x v="24"/>
    <s v="Lukas MÃ¼ller"/>
    <x v="3"/>
    <x v="6"/>
    <n v="9"/>
    <n v="8000"/>
    <n v="72000"/>
  </r>
  <r>
    <n v="26"/>
    <x v="25"/>
    <s v="Ava Jenkins"/>
    <x v="0"/>
    <x v="0"/>
    <n v="10"/>
    <n v="100"/>
    <n v="1000"/>
  </r>
  <r>
    <n v="27"/>
    <x v="26"/>
    <s v="Olivia Brown"/>
    <x v="1"/>
    <x v="1"/>
    <n v="2"/>
    <n v="120"/>
    <n v="240"/>
  </r>
  <r>
    <n v="28"/>
    <x v="27"/>
    <s v="Emily Johnson"/>
    <x v="1"/>
    <x v="1"/>
    <n v="1"/>
    <n v="50"/>
    <n v="50"/>
  </r>
  <r>
    <n v="29"/>
    <x v="28"/>
    <s v="Maria Angelica"/>
    <x v="1"/>
    <x v="4"/>
    <n v="8"/>
    <n v="500"/>
    <n v="4000"/>
  </r>
  <r>
    <n v="30"/>
    <x v="29"/>
    <s v="Yui Nakamura"/>
    <x v="3"/>
    <x v="4"/>
    <n v="1"/>
    <n v="50"/>
    <n v="50"/>
  </r>
  <r>
    <n v="31"/>
    <x v="30"/>
    <s v="Mohammad Ali"/>
    <x v="0"/>
    <x v="6"/>
    <n v="6"/>
    <n v="8000"/>
    <n v="48000"/>
  </r>
  <r>
    <n v="32"/>
    <x v="31"/>
    <s v="Ava Jenkins"/>
    <x v="0"/>
    <x v="6"/>
    <n v="6"/>
    <n v="8000"/>
    <n v="48000"/>
  </r>
  <r>
    <n v="33"/>
    <x v="32"/>
    <s v="Lukas MÃ¼ller"/>
    <x v="1"/>
    <x v="6"/>
    <n v="5"/>
    <n v="8000"/>
    <n v="40000"/>
  </r>
  <r>
    <n v="34"/>
    <x v="33"/>
    <s v="Emily Johnson"/>
    <x v="3"/>
    <x v="3"/>
    <n v="3"/>
    <n v="230"/>
    <n v="690"/>
  </r>
  <r>
    <n v="35"/>
    <x v="34"/>
    <s v="Mohammad Ali"/>
    <x v="2"/>
    <x v="6"/>
    <n v="1"/>
    <n v="230"/>
    <n v="230"/>
  </r>
  <r>
    <n v="36"/>
    <x v="35"/>
    <s v="Maria Angelica"/>
    <x v="2"/>
    <x v="5"/>
    <n v="8"/>
    <n v="50"/>
    <n v="400"/>
  </r>
  <r>
    <n v="37"/>
    <x v="36"/>
    <s v="Yui Nakamura"/>
    <x v="1"/>
    <x v="3"/>
    <n v="4"/>
    <n v="500"/>
    <n v="2000"/>
  </r>
  <r>
    <n v="38"/>
    <x v="37"/>
    <s v="Lukas MÃ¼ller"/>
    <x v="1"/>
    <x v="0"/>
    <n v="10"/>
    <n v="50"/>
    <n v="500"/>
  </r>
  <r>
    <n v="39"/>
    <x v="38"/>
    <s v="Olivia Brown"/>
    <x v="2"/>
    <x v="3"/>
    <n v="3"/>
    <n v="100"/>
    <n v="300"/>
  </r>
  <r>
    <n v="40"/>
    <x v="39"/>
    <s v="Olivia Brown"/>
    <x v="3"/>
    <x v="4"/>
    <n v="5"/>
    <n v="50"/>
    <n v="250"/>
  </r>
  <r>
    <n v="41"/>
    <x v="40"/>
    <s v="Ethan Lee"/>
    <x v="3"/>
    <x v="4"/>
    <n v="6"/>
    <n v="600"/>
    <n v="3600"/>
  </r>
  <r>
    <n v="42"/>
    <x v="41"/>
    <s v="Yui Nakamura"/>
    <x v="3"/>
    <x v="1"/>
    <n v="7"/>
    <n v="8000"/>
    <n v="56000"/>
  </r>
  <r>
    <n v="43"/>
    <x v="42"/>
    <s v="Olivia Brown"/>
    <x v="3"/>
    <x v="6"/>
    <n v="5"/>
    <n v="230"/>
    <n v="1150"/>
  </r>
  <r>
    <n v="44"/>
    <x v="43"/>
    <s v="Mohammad Ali"/>
    <x v="2"/>
    <x v="3"/>
    <n v="6"/>
    <n v="230"/>
    <n v="1380"/>
  </r>
  <r>
    <n v="45"/>
    <x v="44"/>
    <s v="Lukas MÃ¼ller"/>
    <x v="3"/>
    <x v="0"/>
    <n v="3"/>
    <n v="500"/>
    <n v="1500"/>
  </r>
  <r>
    <n v="46"/>
    <x v="45"/>
    <s v="Yui Nakamura"/>
    <x v="2"/>
    <x v="2"/>
    <n v="10"/>
    <n v="50"/>
    <n v="500"/>
  </r>
  <r>
    <n v="47"/>
    <x v="46"/>
    <s v="Maria Angelica"/>
    <x v="3"/>
    <x v="5"/>
    <n v="5"/>
    <n v="8000"/>
    <n v="40000"/>
  </r>
  <r>
    <n v="48"/>
    <x v="47"/>
    <s v="Emily Johnson"/>
    <x v="2"/>
    <x v="1"/>
    <n v="8"/>
    <n v="230"/>
    <n v="1840"/>
  </r>
  <r>
    <n v="49"/>
    <x v="48"/>
    <s v="Fatima Al Mak"/>
    <x v="0"/>
    <x v="2"/>
    <n v="1"/>
    <n v="600"/>
    <n v="600"/>
  </r>
  <r>
    <n v="50"/>
    <x v="49"/>
    <s v="Yui Nakamura"/>
    <x v="1"/>
    <x v="3"/>
    <n v="3"/>
    <n v="230"/>
    <n v="690"/>
  </r>
  <r>
    <n v="51"/>
    <x v="50"/>
    <s v="Emily Johnson"/>
    <x v="2"/>
    <x v="1"/>
    <n v="8"/>
    <n v="600"/>
    <n v="4800"/>
  </r>
  <r>
    <n v="52"/>
    <x v="51"/>
    <s v="Mohammad Ali"/>
    <x v="2"/>
    <x v="6"/>
    <n v="4"/>
    <n v="120"/>
    <n v="480"/>
  </r>
  <r>
    <n v="53"/>
    <x v="52"/>
    <s v="Ava Jenkins"/>
    <x v="2"/>
    <x v="3"/>
    <n v="10"/>
    <n v="100"/>
    <n v="1000"/>
  </r>
  <r>
    <n v="54"/>
    <x v="53"/>
    <s v="Ethan Lee"/>
    <x v="1"/>
    <x v="3"/>
    <n v="4"/>
    <n v="100"/>
    <n v="400"/>
  </r>
  <r>
    <n v="55"/>
    <x v="54"/>
    <s v="Ramesh Kumar"/>
    <x v="1"/>
    <x v="5"/>
    <n v="7"/>
    <n v="100"/>
    <n v="700"/>
  </r>
  <r>
    <n v="56"/>
    <x v="55"/>
    <s v="Mohammad Ali"/>
    <x v="3"/>
    <x v="5"/>
    <n v="1"/>
    <n v="8000"/>
    <n v="8000"/>
  </r>
  <r>
    <n v="57"/>
    <x v="56"/>
    <s v="Emily Johnson"/>
    <x v="3"/>
    <x v="3"/>
    <n v="1"/>
    <n v="500"/>
    <n v="500"/>
  </r>
  <r>
    <n v="58"/>
    <x v="57"/>
    <s v="Fatima Al Mak"/>
    <x v="1"/>
    <x v="0"/>
    <n v="7"/>
    <n v="100"/>
    <n v="700"/>
  </r>
  <r>
    <n v="59"/>
    <x v="58"/>
    <s v="Maria Angelica"/>
    <x v="2"/>
    <x v="6"/>
    <n v="9"/>
    <n v="50"/>
    <n v="450"/>
  </r>
  <r>
    <n v="60"/>
    <x v="59"/>
    <s v="Ava Jenkins"/>
    <x v="3"/>
    <x v="0"/>
    <n v="5"/>
    <n v="100"/>
    <n v="500"/>
  </r>
  <r>
    <n v="61"/>
    <x v="60"/>
    <s v="Maria Angelica"/>
    <x v="2"/>
    <x v="1"/>
    <n v="6"/>
    <n v="8000"/>
    <n v="48000"/>
  </r>
  <r>
    <n v="62"/>
    <x v="61"/>
    <s v="Mohammad Ali"/>
    <x v="3"/>
    <x v="0"/>
    <n v="1"/>
    <n v="500"/>
    <n v="500"/>
  </r>
  <r>
    <n v="63"/>
    <x v="62"/>
    <s v="Fatima Al Mak"/>
    <x v="3"/>
    <x v="1"/>
    <n v="4"/>
    <n v="600"/>
    <n v="2400"/>
  </r>
  <r>
    <n v="64"/>
    <x v="63"/>
    <s v="Olivia Brown"/>
    <x v="0"/>
    <x v="2"/>
    <n v="6"/>
    <n v="500"/>
    <n v="3000"/>
  </r>
  <r>
    <n v="65"/>
    <x v="64"/>
    <s v="Mohammad Ali"/>
    <x v="0"/>
    <x v="2"/>
    <n v="6"/>
    <n v="600"/>
    <n v="3600"/>
  </r>
  <r>
    <n v="66"/>
    <x v="65"/>
    <s v="Fatima Al Mak"/>
    <x v="3"/>
    <x v="1"/>
    <n v="3"/>
    <n v="50"/>
    <n v="150"/>
  </r>
  <r>
    <n v="67"/>
    <x v="66"/>
    <s v="Emily Johnson"/>
    <x v="3"/>
    <x v="5"/>
    <n v="6"/>
    <n v="100"/>
    <n v="600"/>
  </r>
  <r>
    <n v="68"/>
    <x v="67"/>
    <s v="Yui Nakamura"/>
    <x v="0"/>
    <x v="1"/>
    <n v="3"/>
    <n v="500"/>
    <n v="1500"/>
  </r>
  <r>
    <n v="69"/>
    <x v="68"/>
    <s v="Olivia Brown"/>
    <x v="3"/>
    <x v="4"/>
    <n v="1"/>
    <n v="8000"/>
    <n v="8000"/>
  </r>
  <r>
    <n v="70"/>
    <x v="69"/>
    <s v="Maria Angelica"/>
    <x v="1"/>
    <x v="2"/>
    <n v="5"/>
    <n v="50"/>
    <n v="250"/>
  </r>
  <r>
    <n v="71"/>
    <x v="70"/>
    <s v="Ava Jenkins"/>
    <x v="2"/>
    <x v="4"/>
    <n v="1"/>
    <n v="8000"/>
    <n v="8000"/>
  </r>
  <r>
    <n v="72"/>
    <x v="71"/>
    <s v="Yui Nakamura"/>
    <x v="2"/>
    <x v="5"/>
    <n v="4"/>
    <n v="600"/>
    <n v="2400"/>
  </r>
  <r>
    <n v="73"/>
    <x v="72"/>
    <s v="Yui Nakamura"/>
    <x v="3"/>
    <x v="0"/>
    <n v="9"/>
    <n v="50"/>
    <n v="450"/>
  </r>
  <r>
    <n v="74"/>
    <x v="73"/>
    <s v="Emily Johnson"/>
    <x v="1"/>
    <x v="6"/>
    <n v="1"/>
    <n v="500"/>
    <n v="500"/>
  </r>
  <r>
    <n v="75"/>
    <x v="74"/>
    <s v="Ethan Lee"/>
    <x v="0"/>
    <x v="0"/>
    <n v="9"/>
    <n v="100"/>
    <n v="900"/>
  </r>
  <r>
    <n v="76"/>
    <x v="75"/>
    <s v="Maria Angelica"/>
    <x v="1"/>
    <x v="1"/>
    <n v="10"/>
    <n v="600"/>
    <n v="6000"/>
  </r>
  <r>
    <n v="77"/>
    <x v="76"/>
    <s v="Ramesh Kumar"/>
    <x v="3"/>
    <x v="1"/>
    <n v="7"/>
    <n v="230"/>
    <n v="1610"/>
  </r>
  <r>
    <n v="78"/>
    <x v="77"/>
    <s v="Emily Johnson"/>
    <x v="3"/>
    <x v="2"/>
    <n v="10"/>
    <n v="100"/>
    <n v="1000"/>
  </r>
  <r>
    <n v="79"/>
    <x v="78"/>
    <s v="Yui Nakamura"/>
    <x v="2"/>
    <x v="5"/>
    <n v="9"/>
    <n v="230"/>
    <n v="2070"/>
  </r>
  <r>
    <n v="80"/>
    <x v="79"/>
    <s v="Ramesh Kumar"/>
    <x v="2"/>
    <x v="2"/>
    <n v="2"/>
    <n v="100"/>
    <n v="200"/>
  </r>
  <r>
    <n v="81"/>
    <x v="80"/>
    <s v="Fatima Al Mak"/>
    <x v="2"/>
    <x v="1"/>
    <n v="6"/>
    <n v="100"/>
    <n v="600"/>
  </r>
  <r>
    <n v="82"/>
    <x v="81"/>
    <s v="Fatima Al Mak"/>
    <x v="1"/>
    <x v="4"/>
    <n v="6"/>
    <n v="100"/>
    <n v="600"/>
  </r>
  <r>
    <n v="83"/>
    <x v="82"/>
    <s v="Yui Nakamura"/>
    <x v="3"/>
    <x v="6"/>
    <n v="9"/>
    <n v="120"/>
    <n v="1080"/>
  </r>
  <r>
    <n v="84"/>
    <x v="83"/>
    <s v="Ava Jenkins"/>
    <x v="0"/>
    <x v="1"/>
    <n v="7"/>
    <n v="500"/>
    <n v="3500"/>
  </r>
  <r>
    <n v="85"/>
    <x v="84"/>
    <s v="Ramesh Kumar"/>
    <x v="0"/>
    <x v="3"/>
    <n v="6"/>
    <n v="500"/>
    <n v="3000"/>
  </r>
  <r>
    <n v="86"/>
    <x v="85"/>
    <s v="Olivia Brown"/>
    <x v="2"/>
    <x v="5"/>
    <n v="8"/>
    <n v="120"/>
    <n v="960"/>
  </r>
  <r>
    <n v="87"/>
    <x v="86"/>
    <s v="Ramesh Kumar"/>
    <x v="1"/>
    <x v="0"/>
    <n v="6"/>
    <n v="8000"/>
    <n v="48000"/>
  </r>
  <r>
    <n v="88"/>
    <x v="87"/>
    <s v="Mohammad Ali"/>
    <x v="3"/>
    <x v="6"/>
    <n v="1"/>
    <n v="50"/>
    <n v="50"/>
  </r>
  <r>
    <n v="89"/>
    <x v="88"/>
    <s v="Olivia Brown"/>
    <x v="0"/>
    <x v="1"/>
    <n v="3"/>
    <n v="100"/>
    <n v="300"/>
  </r>
  <r>
    <n v="90"/>
    <x v="89"/>
    <s v="Ramesh Kumar"/>
    <x v="2"/>
    <x v="6"/>
    <n v="8"/>
    <n v="100"/>
    <n v="800"/>
  </r>
  <r>
    <n v="91"/>
    <x v="90"/>
    <s v="Maria Angelica"/>
    <x v="1"/>
    <x v="1"/>
    <n v="10"/>
    <n v="8000"/>
    <n v="80000"/>
  </r>
  <r>
    <n v="92"/>
    <x v="91"/>
    <s v="Maria Angelica"/>
    <x v="0"/>
    <x v="1"/>
    <n v="2"/>
    <n v="8000"/>
    <n v="16000"/>
  </r>
  <r>
    <n v="93"/>
    <x v="92"/>
    <s v="Emily Johnson"/>
    <x v="2"/>
    <x v="5"/>
    <n v="8"/>
    <n v="120"/>
    <n v="960"/>
  </r>
  <r>
    <n v="94"/>
    <x v="93"/>
    <s v="Ethan Lee"/>
    <x v="0"/>
    <x v="0"/>
    <n v="9"/>
    <n v="8000"/>
    <n v="72000"/>
  </r>
  <r>
    <n v="95"/>
    <x v="94"/>
    <s v="Yui Nakamura"/>
    <x v="3"/>
    <x v="4"/>
    <n v="4"/>
    <n v="230"/>
    <n v="920"/>
  </r>
  <r>
    <n v="96"/>
    <x v="95"/>
    <s v="Emily Johnson"/>
    <x v="3"/>
    <x v="3"/>
    <n v="3"/>
    <n v="50"/>
    <n v="150"/>
  </r>
  <r>
    <n v="97"/>
    <x v="96"/>
    <s v="Ava Jenkins"/>
    <x v="0"/>
    <x v="5"/>
    <n v="9"/>
    <n v="500"/>
    <n v="4500"/>
  </r>
  <r>
    <n v="98"/>
    <x v="97"/>
    <s v="Yui Nakamura"/>
    <x v="0"/>
    <x v="1"/>
    <n v="6"/>
    <n v="600"/>
    <n v="3600"/>
  </r>
  <r>
    <n v="99"/>
    <x v="98"/>
    <s v="Mohammad Ali"/>
    <x v="1"/>
    <x v="4"/>
    <n v="9"/>
    <n v="230"/>
    <n v="2070"/>
  </r>
  <r>
    <n v="100"/>
    <x v="99"/>
    <s v="Ramesh Kumar"/>
    <x v="1"/>
    <x v="5"/>
    <n v="4"/>
    <n v="50"/>
    <n v="200"/>
  </r>
  <r>
    <n v="101"/>
    <x v="100"/>
    <s v="Ramesh Kumar"/>
    <x v="3"/>
    <x v="6"/>
    <n v="7"/>
    <n v="600"/>
    <n v="4200"/>
  </r>
  <r>
    <n v="102"/>
    <x v="101"/>
    <s v="Ramesh Kumar"/>
    <x v="2"/>
    <x v="1"/>
    <n v="5"/>
    <n v="120"/>
    <n v="600"/>
  </r>
  <r>
    <n v="103"/>
    <x v="102"/>
    <s v="Mohammad Ali"/>
    <x v="3"/>
    <x v="1"/>
    <n v="7"/>
    <n v="100"/>
    <n v="700"/>
  </r>
  <r>
    <n v="104"/>
    <x v="103"/>
    <s v="Ethan Lee"/>
    <x v="2"/>
    <x v="5"/>
    <n v="10"/>
    <n v="120"/>
    <n v="1200"/>
  </r>
  <r>
    <n v="105"/>
    <x v="104"/>
    <s v="Mohammad Ali"/>
    <x v="0"/>
    <x v="0"/>
    <n v="8"/>
    <n v="600"/>
    <n v="4800"/>
  </r>
  <r>
    <n v="106"/>
    <x v="105"/>
    <s v="Ramesh Kumar"/>
    <x v="1"/>
    <x v="3"/>
    <n v="9"/>
    <n v="100"/>
    <n v="900"/>
  </r>
  <r>
    <n v="107"/>
    <x v="106"/>
    <s v="Ethan Lee"/>
    <x v="0"/>
    <x v="0"/>
    <n v="2"/>
    <n v="600"/>
    <n v="1200"/>
  </r>
  <r>
    <n v="108"/>
    <x v="107"/>
    <s v="Lukas MÃ¼ller"/>
    <x v="3"/>
    <x v="6"/>
    <n v="10"/>
    <n v="50"/>
    <n v="500"/>
  </r>
  <r>
    <n v="109"/>
    <x v="108"/>
    <s v="Ethan Lee"/>
    <x v="1"/>
    <x v="3"/>
    <n v="5"/>
    <n v="600"/>
    <n v="3000"/>
  </r>
  <r>
    <n v="110"/>
    <x v="109"/>
    <s v="Ethan Lee"/>
    <x v="0"/>
    <x v="4"/>
    <n v="4"/>
    <n v="8000"/>
    <n v="32000"/>
  </r>
  <r>
    <n v="111"/>
    <x v="110"/>
    <s v="Ethan Lee"/>
    <x v="3"/>
    <x v="3"/>
    <n v="7"/>
    <n v="500"/>
    <n v="3500"/>
  </r>
  <r>
    <n v="112"/>
    <x v="111"/>
    <s v="Mohammad Ali"/>
    <x v="2"/>
    <x v="4"/>
    <n v="6"/>
    <n v="50"/>
    <n v="300"/>
  </r>
  <r>
    <n v="113"/>
    <x v="112"/>
    <s v="Maria Angelica"/>
    <x v="1"/>
    <x v="1"/>
    <n v="10"/>
    <n v="100"/>
    <n v="1000"/>
  </r>
  <r>
    <n v="114"/>
    <x v="113"/>
    <s v="Olivia Brown"/>
    <x v="1"/>
    <x v="3"/>
    <n v="7"/>
    <n v="230"/>
    <n v="1610"/>
  </r>
  <r>
    <n v="115"/>
    <x v="114"/>
    <s v="Fatima Al Mak"/>
    <x v="1"/>
    <x v="6"/>
    <n v="4"/>
    <n v="100"/>
    <n v="400"/>
  </r>
  <r>
    <n v="116"/>
    <x v="115"/>
    <s v="Ramesh Kumar"/>
    <x v="3"/>
    <x v="2"/>
    <n v="3"/>
    <n v="50"/>
    <n v="150"/>
  </r>
  <r>
    <n v="117"/>
    <x v="116"/>
    <s v="Mohammad Ali"/>
    <x v="0"/>
    <x v="1"/>
    <n v="8"/>
    <n v="100"/>
    <n v="800"/>
  </r>
  <r>
    <n v="118"/>
    <x v="117"/>
    <s v="Emily Johnson"/>
    <x v="0"/>
    <x v="4"/>
    <n v="10"/>
    <n v="230"/>
    <n v="2300"/>
  </r>
  <r>
    <n v="119"/>
    <x v="118"/>
    <s v="Maria Angelica"/>
    <x v="1"/>
    <x v="0"/>
    <n v="6"/>
    <n v="230"/>
    <n v="1380"/>
  </r>
  <r>
    <n v="120"/>
    <x v="119"/>
    <s v="Ethan Lee"/>
    <x v="0"/>
    <x v="2"/>
    <n v="7"/>
    <n v="230"/>
    <n v="1610"/>
  </r>
  <r>
    <n v="121"/>
    <x v="120"/>
    <s v="Ethan Lee"/>
    <x v="2"/>
    <x v="1"/>
    <n v="6"/>
    <n v="120"/>
    <n v="720"/>
  </r>
  <r>
    <n v="122"/>
    <x v="121"/>
    <s v="Maria Angelica"/>
    <x v="2"/>
    <x v="6"/>
    <n v="3"/>
    <n v="8000"/>
    <n v="24000"/>
  </r>
  <r>
    <n v="123"/>
    <x v="122"/>
    <s v="Mohammad Ali"/>
    <x v="3"/>
    <x v="6"/>
    <n v="2"/>
    <n v="50"/>
    <n v="100"/>
  </r>
  <r>
    <n v="124"/>
    <x v="123"/>
    <s v="Ava Jenkins"/>
    <x v="1"/>
    <x v="3"/>
    <n v="5"/>
    <n v="50"/>
    <n v="250"/>
  </r>
  <r>
    <n v="125"/>
    <x v="124"/>
    <s v="Fatima Al Mak"/>
    <x v="3"/>
    <x v="4"/>
    <n v="4"/>
    <n v="230"/>
    <n v="920"/>
  </r>
  <r>
    <n v="126"/>
    <x v="125"/>
    <s v="Emily Johnson"/>
    <x v="1"/>
    <x v="2"/>
    <n v="5"/>
    <n v="500"/>
    <n v="2500"/>
  </r>
  <r>
    <n v="127"/>
    <x v="126"/>
    <s v="Yui Nakamura"/>
    <x v="3"/>
    <x v="2"/>
    <n v="10"/>
    <n v="8000"/>
    <n v="80000"/>
  </r>
  <r>
    <n v="128"/>
    <x v="127"/>
    <s v="Maria Angelica"/>
    <x v="1"/>
    <x v="6"/>
    <n v="4"/>
    <n v="100"/>
    <n v="400"/>
  </r>
  <r>
    <n v="129"/>
    <x v="128"/>
    <s v="Lukas MÃ¼ller"/>
    <x v="1"/>
    <x v="3"/>
    <n v="5"/>
    <n v="100"/>
    <n v="500"/>
  </r>
  <r>
    <n v="130"/>
    <x v="129"/>
    <s v="Lukas MÃ¼ller"/>
    <x v="3"/>
    <x v="3"/>
    <n v="4"/>
    <n v="230"/>
    <n v="920"/>
  </r>
  <r>
    <n v="131"/>
    <x v="130"/>
    <s v="Olivia Brown"/>
    <x v="3"/>
    <x v="1"/>
    <n v="7"/>
    <n v="8000"/>
    <n v="56000"/>
  </r>
  <r>
    <n v="132"/>
    <x v="131"/>
    <s v="Yui Nakamura"/>
    <x v="0"/>
    <x v="5"/>
    <n v="4"/>
    <n v="8000"/>
    <n v="32000"/>
  </r>
  <r>
    <n v="133"/>
    <x v="132"/>
    <s v="Fatima Al Mak"/>
    <x v="2"/>
    <x v="6"/>
    <n v="10"/>
    <n v="500"/>
    <n v="5000"/>
  </r>
  <r>
    <n v="134"/>
    <x v="133"/>
    <s v="Emily Johnson"/>
    <x v="2"/>
    <x v="6"/>
    <n v="3"/>
    <n v="600"/>
    <n v="1800"/>
  </r>
  <r>
    <n v="135"/>
    <x v="134"/>
    <s v="Olivia Brown"/>
    <x v="3"/>
    <x v="1"/>
    <n v="2"/>
    <n v="600"/>
    <n v="1200"/>
  </r>
  <r>
    <n v="136"/>
    <x v="135"/>
    <s v="Yui Nakamura"/>
    <x v="1"/>
    <x v="6"/>
    <n v="3"/>
    <n v="50"/>
    <n v="150"/>
  </r>
  <r>
    <n v="137"/>
    <x v="136"/>
    <s v="Maria Angelica"/>
    <x v="2"/>
    <x v="6"/>
    <n v="3"/>
    <n v="8000"/>
    <n v="24000"/>
  </r>
  <r>
    <n v="138"/>
    <x v="137"/>
    <s v="Ramesh Kumar"/>
    <x v="0"/>
    <x v="4"/>
    <n v="9"/>
    <n v="600"/>
    <n v="5400"/>
  </r>
  <r>
    <n v="139"/>
    <x v="138"/>
    <s v="Ethan Lee"/>
    <x v="3"/>
    <x v="0"/>
    <n v="1"/>
    <n v="8000"/>
    <n v="8000"/>
  </r>
  <r>
    <n v="140"/>
    <x v="139"/>
    <s v="Ava Jenkins"/>
    <x v="3"/>
    <x v="2"/>
    <n v="4"/>
    <n v="600"/>
    <n v="2400"/>
  </r>
  <r>
    <n v="141"/>
    <x v="140"/>
    <s v="Ava Jenkins"/>
    <x v="3"/>
    <x v="0"/>
    <n v="2"/>
    <n v="8000"/>
    <n v="16000"/>
  </r>
  <r>
    <n v="142"/>
    <x v="141"/>
    <s v="Emily Johnson"/>
    <x v="1"/>
    <x v="3"/>
    <n v="2"/>
    <n v="100"/>
    <n v="200"/>
  </r>
  <r>
    <n v="143"/>
    <x v="142"/>
    <s v="Fatima Al Mak"/>
    <x v="3"/>
    <x v="0"/>
    <n v="6"/>
    <n v="500"/>
    <n v="3000"/>
  </r>
  <r>
    <n v="144"/>
    <x v="143"/>
    <s v="Fatima Al Mak"/>
    <x v="0"/>
    <x v="0"/>
    <n v="5"/>
    <n v="100"/>
    <n v="500"/>
  </r>
  <r>
    <n v="145"/>
    <x v="144"/>
    <s v="Emily Johnson"/>
    <x v="0"/>
    <x v="4"/>
    <n v="2"/>
    <n v="120"/>
    <n v="240"/>
  </r>
  <r>
    <n v="146"/>
    <x v="145"/>
    <s v="Emily Johnson"/>
    <x v="2"/>
    <x v="3"/>
    <n v="1"/>
    <n v="120"/>
    <n v="120"/>
  </r>
  <r>
    <n v="147"/>
    <x v="146"/>
    <s v="Mohammad Ali"/>
    <x v="2"/>
    <x v="0"/>
    <n v="1"/>
    <n v="500"/>
    <n v="500"/>
  </r>
  <r>
    <n v="148"/>
    <x v="147"/>
    <s v="Yui Nakamura"/>
    <x v="3"/>
    <x v="2"/>
    <n v="2"/>
    <n v="120"/>
    <n v="240"/>
  </r>
  <r>
    <n v="149"/>
    <x v="148"/>
    <s v="Ava Jenkins"/>
    <x v="2"/>
    <x v="2"/>
    <n v="9"/>
    <n v="120"/>
    <n v="1080"/>
  </r>
  <r>
    <n v="150"/>
    <x v="149"/>
    <s v="Mohammad Ali"/>
    <x v="1"/>
    <x v="5"/>
    <n v="8"/>
    <n v="50"/>
    <n v="400"/>
  </r>
  <r>
    <n v="151"/>
    <x v="150"/>
    <s v="Ava Jenkins"/>
    <x v="0"/>
    <x v="2"/>
    <n v="1"/>
    <n v="8000"/>
    <n v="8000"/>
  </r>
  <r>
    <n v="152"/>
    <x v="151"/>
    <s v="Fatima Al Mak"/>
    <x v="1"/>
    <x v="6"/>
    <n v="5"/>
    <n v="500"/>
    <n v="2500"/>
  </r>
  <r>
    <n v="153"/>
    <x v="152"/>
    <s v="Olivia Brown"/>
    <x v="3"/>
    <x v="0"/>
    <n v="8"/>
    <n v="120"/>
    <n v="960"/>
  </r>
  <r>
    <n v="154"/>
    <x v="153"/>
    <s v="Emily Johnson"/>
    <x v="1"/>
    <x v="1"/>
    <n v="10"/>
    <n v="100"/>
    <n v="1000"/>
  </r>
  <r>
    <n v="155"/>
    <x v="154"/>
    <s v="Lukas MÃ¼ller"/>
    <x v="1"/>
    <x v="1"/>
    <n v="9"/>
    <n v="600"/>
    <n v="5400"/>
  </r>
  <r>
    <n v="156"/>
    <x v="155"/>
    <s v="Ramesh Kumar"/>
    <x v="2"/>
    <x v="2"/>
    <n v="7"/>
    <n v="8000"/>
    <n v="56000"/>
  </r>
  <r>
    <n v="157"/>
    <x v="156"/>
    <s v="Fatima Al Mak"/>
    <x v="1"/>
    <x v="1"/>
    <n v="1"/>
    <n v="100"/>
    <n v="100"/>
  </r>
  <r>
    <n v="158"/>
    <x v="157"/>
    <s v="Emily Johnson"/>
    <x v="1"/>
    <x v="5"/>
    <n v="3"/>
    <n v="230"/>
    <n v="690"/>
  </r>
  <r>
    <n v="159"/>
    <x v="158"/>
    <s v="Ava Jenkins"/>
    <x v="0"/>
    <x v="2"/>
    <n v="3"/>
    <n v="500"/>
    <n v="1500"/>
  </r>
  <r>
    <n v="160"/>
    <x v="159"/>
    <s v="Mohammad Ali"/>
    <x v="3"/>
    <x v="1"/>
    <n v="8"/>
    <n v="600"/>
    <n v="4800"/>
  </r>
  <r>
    <n v="161"/>
    <x v="160"/>
    <s v="Ethan Lee"/>
    <x v="2"/>
    <x v="6"/>
    <n v="7"/>
    <n v="500"/>
    <n v="3500"/>
  </r>
  <r>
    <n v="162"/>
    <x v="161"/>
    <s v="Ava Jenkins"/>
    <x v="1"/>
    <x v="5"/>
    <n v="8"/>
    <n v="500"/>
    <n v="4000"/>
  </r>
  <r>
    <n v="163"/>
    <x v="162"/>
    <s v="Ramesh Kumar"/>
    <x v="2"/>
    <x v="3"/>
    <n v="4"/>
    <n v="100"/>
    <n v="400"/>
  </r>
  <r>
    <n v="164"/>
    <x v="163"/>
    <s v="Maria Angelica"/>
    <x v="2"/>
    <x v="3"/>
    <n v="5"/>
    <n v="600"/>
    <n v="3000"/>
  </r>
  <r>
    <n v="165"/>
    <x v="164"/>
    <s v="Fatima Al Mak"/>
    <x v="3"/>
    <x v="5"/>
    <n v="3"/>
    <n v="120"/>
    <n v="360"/>
  </r>
  <r>
    <n v="166"/>
    <x v="165"/>
    <s v="Ramesh Kumar"/>
    <x v="0"/>
    <x v="1"/>
    <n v="7"/>
    <n v="50"/>
    <n v="350"/>
  </r>
  <r>
    <n v="167"/>
    <x v="166"/>
    <s v="Yui Nakamura"/>
    <x v="0"/>
    <x v="2"/>
    <n v="10"/>
    <n v="8000"/>
    <n v="80000"/>
  </r>
  <r>
    <n v="168"/>
    <x v="167"/>
    <s v="Ava Jenkins"/>
    <x v="3"/>
    <x v="6"/>
    <n v="6"/>
    <n v="120"/>
    <n v="720"/>
  </r>
  <r>
    <n v="169"/>
    <x v="168"/>
    <s v="Ethan Lee"/>
    <x v="2"/>
    <x v="3"/>
    <n v="10"/>
    <n v="50"/>
    <n v="500"/>
  </r>
  <r>
    <n v="170"/>
    <x v="169"/>
    <s v="Maria Angelica"/>
    <x v="2"/>
    <x v="4"/>
    <n v="2"/>
    <n v="600"/>
    <n v="1200"/>
  </r>
  <r>
    <n v="171"/>
    <x v="170"/>
    <s v="Emily Johnson"/>
    <x v="3"/>
    <x v="2"/>
    <n v="3"/>
    <n v="600"/>
    <n v="1800"/>
  </r>
  <r>
    <n v="172"/>
    <x v="171"/>
    <s v="Emily Johnson"/>
    <x v="1"/>
    <x v="1"/>
    <n v="1"/>
    <n v="500"/>
    <n v="500"/>
  </r>
  <r>
    <n v="173"/>
    <x v="172"/>
    <s v="Ava Jenkins"/>
    <x v="0"/>
    <x v="6"/>
    <n v="8"/>
    <n v="100"/>
    <n v="800"/>
  </r>
  <r>
    <n v="174"/>
    <x v="173"/>
    <s v="Ramesh Kumar"/>
    <x v="3"/>
    <x v="0"/>
    <n v="5"/>
    <n v="230"/>
    <n v="1150"/>
  </r>
  <r>
    <n v="175"/>
    <x v="174"/>
    <s v="Olivia Brown"/>
    <x v="2"/>
    <x v="4"/>
    <n v="1"/>
    <n v="50"/>
    <n v="50"/>
  </r>
  <r>
    <n v="176"/>
    <x v="175"/>
    <s v="Ramesh Kumar"/>
    <x v="3"/>
    <x v="5"/>
    <n v="1"/>
    <n v="600"/>
    <n v="600"/>
  </r>
  <r>
    <n v="177"/>
    <x v="176"/>
    <s v="Olivia Brown"/>
    <x v="1"/>
    <x v="5"/>
    <n v="6"/>
    <n v="120"/>
    <n v="720"/>
  </r>
  <r>
    <n v="178"/>
    <x v="177"/>
    <s v="Ethan Lee"/>
    <x v="2"/>
    <x v="1"/>
    <n v="5"/>
    <n v="50"/>
    <n v="250"/>
  </r>
  <r>
    <n v="179"/>
    <x v="178"/>
    <s v="Ava Jenkins"/>
    <x v="3"/>
    <x v="5"/>
    <n v="10"/>
    <n v="120"/>
    <n v="1200"/>
  </r>
  <r>
    <n v="180"/>
    <x v="179"/>
    <s v="Ava Jenkins"/>
    <x v="3"/>
    <x v="2"/>
    <n v="8"/>
    <n v="8000"/>
    <n v="64000"/>
  </r>
  <r>
    <n v="181"/>
    <x v="180"/>
    <s v="Lukas MÃ¼ller"/>
    <x v="0"/>
    <x v="4"/>
    <n v="7"/>
    <n v="8000"/>
    <n v="56000"/>
  </r>
  <r>
    <n v="182"/>
    <x v="181"/>
    <s v="Maria Angelica"/>
    <x v="3"/>
    <x v="6"/>
    <n v="2"/>
    <n v="100"/>
    <n v="200"/>
  </r>
  <r>
    <n v="183"/>
    <x v="182"/>
    <s v="Fatima Al Mak"/>
    <x v="1"/>
    <x v="3"/>
    <n v="2"/>
    <n v="50"/>
    <n v="100"/>
  </r>
  <r>
    <n v="184"/>
    <x v="183"/>
    <s v="Olivia Brown"/>
    <x v="1"/>
    <x v="1"/>
    <n v="2"/>
    <n v="50"/>
    <n v="100"/>
  </r>
  <r>
    <n v="185"/>
    <x v="184"/>
    <s v="Mohammad Ali"/>
    <x v="3"/>
    <x v="2"/>
    <n v="1"/>
    <n v="500"/>
    <n v="500"/>
  </r>
  <r>
    <n v="186"/>
    <x v="185"/>
    <s v="Olivia Brown"/>
    <x v="0"/>
    <x v="6"/>
    <n v="3"/>
    <n v="500"/>
    <n v="1500"/>
  </r>
  <r>
    <n v="187"/>
    <x v="186"/>
    <s v="Fatima Al Mak"/>
    <x v="3"/>
    <x v="4"/>
    <n v="1"/>
    <n v="230"/>
    <n v="230"/>
  </r>
  <r>
    <n v="188"/>
    <x v="187"/>
    <s v="Maria Angelica"/>
    <x v="0"/>
    <x v="0"/>
    <n v="10"/>
    <n v="100"/>
    <n v="1000"/>
  </r>
  <r>
    <n v="189"/>
    <x v="188"/>
    <s v="Maria Angelica"/>
    <x v="2"/>
    <x v="2"/>
    <n v="6"/>
    <n v="120"/>
    <n v="720"/>
  </r>
  <r>
    <n v="190"/>
    <x v="189"/>
    <s v="Mohammad Ali"/>
    <x v="0"/>
    <x v="5"/>
    <n v="10"/>
    <n v="230"/>
    <n v="2300"/>
  </r>
  <r>
    <n v="191"/>
    <x v="190"/>
    <s v="Ava Jenkins"/>
    <x v="2"/>
    <x v="1"/>
    <n v="5"/>
    <n v="50"/>
    <n v="250"/>
  </r>
  <r>
    <n v="192"/>
    <x v="191"/>
    <s v="Ramesh Kumar"/>
    <x v="1"/>
    <x v="3"/>
    <n v="7"/>
    <n v="230"/>
    <n v="1610"/>
  </r>
  <r>
    <n v="193"/>
    <x v="192"/>
    <s v="Yui Nakamura"/>
    <x v="3"/>
    <x v="0"/>
    <n v="9"/>
    <n v="100"/>
    <n v="900"/>
  </r>
  <r>
    <n v="194"/>
    <x v="193"/>
    <s v="Lukas MÃ¼ller"/>
    <x v="3"/>
    <x v="6"/>
    <n v="4"/>
    <n v="8000"/>
    <n v="32000"/>
  </r>
  <r>
    <n v="195"/>
    <x v="194"/>
    <s v="Olivia Brown"/>
    <x v="2"/>
    <x v="5"/>
    <n v="1"/>
    <n v="230"/>
    <n v="230"/>
  </r>
  <r>
    <n v="196"/>
    <x v="195"/>
    <s v="Ava Jenkins"/>
    <x v="0"/>
    <x v="6"/>
    <n v="3"/>
    <n v="120"/>
    <n v="360"/>
  </r>
  <r>
    <n v="197"/>
    <x v="196"/>
    <s v="Maria Angelica"/>
    <x v="2"/>
    <x v="0"/>
    <n v="9"/>
    <n v="230"/>
    <n v="2070"/>
  </r>
  <r>
    <n v="198"/>
    <x v="197"/>
    <s v="Ava Jenkins"/>
    <x v="1"/>
    <x v="0"/>
    <n v="9"/>
    <n v="230"/>
    <n v="2070"/>
  </r>
  <r>
    <n v="199"/>
    <x v="198"/>
    <s v="Lukas MÃ¼ller"/>
    <x v="2"/>
    <x v="0"/>
    <n v="6"/>
    <n v="50"/>
    <n v="300"/>
  </r>
  <r>
    <n v="200"/>
    <x v="199"/>
    <s v="Lukas MÃ¼ller"/>
    <x v="1"/>
    <x v="1"/>
    <n v="3"/>
    <n v="600"/>
    <n v="1800"/>
  </r>
  <r>
    <n v="201"/>
    <x v="200"/>
    <s v="Mohammad Ali"/>
    <x v="1"/>
    <x v="1"/>
    <n v="3"/>
    <n v="100"/>
    <n v="300"/>
  </r>
  <r>
    <n v="202"/>
    <x v="201"/>
    <s v="Maria Angelica"/>
    <x v="2"/>
    <x v="3"/>
    <n v="8"/>
    <n v="120"/>
    <n v="960"/>
  </r>
  <r>
    <n v="203"/>
    <x v="202"/>
    <s v="Olivia Brown"/>
    <x v="2"/>
    <x v="0"/>
    <n v="9"/>
    <n v="230"/>
    <n v="2070"/>
  </r>
  <r>
    <n v="204"/>
    <x v="203"/>
    <s v="Ramesh Kumar"/>
    <x v="0"/>
    <x v="0"/>
    <n v="6"/>
    <n v="8000"/>
    <n v="48000"/>
  </r>
  <r>
    <n v="205"/>
    <x v="204"/>
    <s v="Yui Nakamura"/>
    <x v="1"/>
    <x v="3"/>
    <n v="2"/>
    <n v="100"/>
    <n v="200"/>
  </r>
  <r>
    <n v="206"/>
    <x v="205"/>
    <s v="Yui Nakamura"/>
    <x v="2"/>
    <x v="2"/>
    <n v="7"/>
    <n v="120"/>
    <n v="840"/>
  </r>
  <r>
    <n v="207"/>
    <x v="206"/>
    <s v="Ava Jenkins"/>
    <x v="0"/>
    <x v="5"/>
    <n v="4"/>
    <n v="50"/>
    <n v="200"/>
  </r>
  <r>
    <n v="208"/>
    <x v="207"/>
    <s v="Yui Nakamura"/>
    <x v="2"/>
    <x v="4"/>
    <n v="4"/>
    <n v="8000"/>
    <n v="32000"/>
  </r>
  <r>
    <n v="209"/>
    <x v="208"/>
    <s v="Yui Nakamura"/>
    <x v="1"/>
    <x v="3"/>
    <n v="2"/>
    <n v="120"/>
    <n v="240"/>
  </r>
  <r>
    <n v="210"/>
    <x v="209"/>
    <s v="Maria Angelica"/>
    <x v="1"/>
    <x v="3"/>
    <n v="6"/>
    <n v="600"/>
    <n v="3600"/>
  </r>
  <r>
    <n v="211"/>
    <x v="210"/>
    <s v="Emily Johnson"/>
    <x v="0"/>
    <x v="3"/>
    <n v="3"/>
    <n v="120"/>
    <n v="360"/>
  </r>
  <r>
    <n v="212"/>
    <x v="211"/>
    <s v="Mohammad Ali"/>
    <x v="3"/>
    <x v="0"/>
    <n v="1"/>
    <n v="8000"/>
    <n v="8000"/>
  </r>
  <r>
    <n v="213"/>
    <x v="212"/>
    <s v="Fatima Al Mak"/>
    <x v="0"/>
    <x v="3"/>
    <n v="10"/>
    <n v="50"/>
    <n v="500"/>
  </r>
  <r>
    <n v="214"/>
    <x v="213"/>
    <s v="Mohammad Ali"/>
    <x v="1"/>
    <x v="0"/>
    <n v="2"/>
    <n v="120"/>
    <n v="240"/>
  </r>
  <r>
    <n v="215"/>
    <x v="214"/>
    <s v="Fatima Al Mak"/>
    <x v="2"/>
    <x v="5"/>
    <n v="8"/>
    <n v="100"/>
    <n v="800"/>
  </r>
  <r>
    <n v="216"/>
    <x v="215"/>
    <s v="Yui Nakamura"/>
    <x v="0"/>
    <x v="0"/>
    <n v="10"/>
    <n v="50"/>
    <n v="500"/>
  </r>
  <r>
    <n v="217"/>
    <x v="216"/>
    <s v="Mohammad Ali"/>
    <x v="1"/>
    <x v="1"/>
    <n v="3"/>
    <n v="50"/>
    <n v="150"/>
  </r>
  <r>
    <n v="218"/>
    <x v="217"/>
    <s v="Olivia Brown"/>
    <x v="3"/>
    <x v="6"/>
    <n v="10"/>
    <n v="8000"/>
    <n v="80000"/>
  </r>
  <r>
    <n v="219"/>
    <x v="218"/>
    <s v="Maria Angelica"/>
    <x v="3"/>
    <x v="4"/>
    <n v="5"/>
    <n v="500"/>
    <n v="2500"/>
  </r>
  <r>
    <n v="220"/>
    <x v="219"/>
    <s v="Olivia Brown"/>
    <x v="3"/>
    <x v="4"/>
    <n v="6"/>
    <n v="50"/>
    <n v="300"/>
  </r>
  <r>
    <n v="221"/>
    <x v="220"/>
    <s v="Olivia Brown"/>
    <x v="2"/>
    <x v="1"/>
    <n v="2"/>
    <n v="600"/>
    <n v="1200"/>
  </r>
  <r>
    <n v="222"/>
    <x v="221"/>
    <s v="Maria Angelica"/>
    <x v="3"/>
    <x v="6"/>
    <n v="10"/>
    <n v="100"/>
    <n v="1000"/>
  </r>
  <r>
    <n v="223"/>
    <x v="222"/>
    <s v="Ethan Lee"/>
    <x v="3"/>
    <x v="3"/>
    <n v="8"/>
    <n v="600"/>
    <n v="4800"/>
  </r>
  <r>
    <n v="224"/>
    <x v="223"/>
    <s v="Ethan Lee"/>
    <x v="3"/>
    <x v="0"/>
    <n v="5"/>
    <n v="500"/>
    <n v="2500"/>
  </r>
  <r>
    <n v="225"/>
    <x v="224"/>
    <s v="Mohammad Ali"/>
    <x v="2"/>
    <x v="6"/>
    <n v="9"/>
    <n v="230"/>
    <n v="2070"/>
  </r>
  <r>
    <n v="226"/>
    <x v="225"/>
    <s v="Fatima Al Mak"/>
    <x v="1"/>
    <x v="6"/>
    <n v="10"/>
    <n v="50"/>
    <n v="500"/>
  </r>
  <r>
    <n v="227"/>
    <x v="226"/>
    <s v="Ramesh Kumar"/>
    <x v="3"/>
    <x v="0"/>
    <n v="7"/>
    <n v="500"/>
    <n v="3500"/>
  </r>
  <r>
    <n v="228"/>
    <x v="227"/>
    <s v="Lukas MÃ¼ller"/>
    <x v="3"/>
    <x v="0"/>
    <n v="7"/>
    <n v="500"/>
    <n v="3500"/>
  </r>
  <r>
    <n v="229"/>
    <x v="228"/>
    <s v="Maria Angelica"/>
    <x v="0"/>
    <x v="4"/>
    <n v="2"/>
    <n v="100"/>
    <n v="200"/>
  </r>
  <r>
    <n v="230"/>
    <x v="229"/>
    <s v="Mohammad Ali"/>
    <x v="1"/>
    <x v="1"/>
    <n v="2"/>
    <n v="8000"/>
    <n v="16000"/>
  </r>
  <r>
    <n v="231"/>
    <x v="230"/>
    <s v="Yui Nakamura"/>
    <x v="3"/>
    <x v="0"/>
    <n v="7"/>
    <n v="100"/>
    <n v="700"/>
  </r>
  <r>
    <n v="232"/>
    <x v="231"/>
    <s v="Ethan Lee"/>
    <x v="3"/>
    <x v="5"/>
    <n v="8"/>
    <n v="8000"/>
    <n v="64000"/>
  </r>
  <r>
    <n v="233"/>
    <x v="232"/>
    <s v="Emily Johnson"/>
    <x v="2"/>
    <x v="3"/>
    <n v="8"/>
    <n v="8000"/>
    <n v="64000"/>
  </r>
  <r>
    <n v="234"/>
    <x v="233"/>
    <s v="Mohammad Ali"/>
    <x v="3"/>
    <x v="1"/>
    <n v="8"/>
    <n v="230"/>
    <n v="1840"/>
  </r>
  <r>
    <n v="235"/>
    <x v="234"/>
    <s v="Lukas MÃ¼ller"/>
    <x v="2"/>
    <x v="3"/>
    <n v="10"/>
    <n v="120"/>
    <n v="1200"/>
  </r>
  <r>
    <n v="236"/>
    <x v="235"/>
    <s v="Ava Jenkins"/>
    <x v="1"/>
    <x v="4"/>
    <n v="4"/>
    <n v="500"/>
    <n v="2000"/>
  </r>
  <r>
    <n v="237"/>
    <x v="236"/>
    <s v="Maria Angelica"/>
    <x v="3"/>
    <x v="4"/>
    <n v="7"/>
    <n v="600"/>
    <n v="4200"/>
  </r>
  <r>
    <n v="238"/>
    <x v="237"/>
    <s v="Fatima Al Mak"/>
    <x v="3"/>
    <x v="1"/>
    <n v="2"/>
    <n v="230"/>
    <n v="460"/>
  </r>
  <r>
    <n v="239"/>
    <x v="238"/>
    <s v="Olivia Brown"/>
    <x v="1"/>
    <x v="4"/>
    <n v="6"/>
    <n v="230"/>
    <n v="1380"/>
  </r>
  <r>
    <n v="240"/>
    <x v="239"/>
    <s v="Lukas MÃ¼ller"/>
    <x v="3"/>
    <x v="2"/>
    <n v="8"/>
    <n v="500"/>
    <n v="4000"/>
  </r>
  <r>
    <n v="241"/>
    <x v="240"/>
    <s v="Maria Angelica"/>
    <x v="1"/>
    <x v="1"/>
    <n v="4"/>
    <n v="230"/>
    <n v="920"/>
  </r>
  <r>
    <n v="242"/>
    <x v="241"/>
    <s v="Fatima Al Mak"/>
    <x v="1"/>
    <x v="0"/>
    <n v="5"/>
    <n v="230"/>
    <n v="1150"/>
  </r>
  <r>
    <n v="243"/>
    <x v="242"/>
    <s v="Emily Johnson"/>
    <x v="3"/>
    <x v="1"/>
    <n v="1"/>
    <n v="600"/>
    <n v="600"/>
  </r>
  <r>
    <n v="244"/>
    <x v="243"/>
    <s v="Yui Nakamura"/>
    <x v="0"/>
    <x v="6"/>
    <n v="7"/>
    <n v="600"/>
    <n v="4200"/>
  </r>
  <r>
    <n v="245"/>
    <x v="244"/>
    <s v="Fatima Al Mak"/>
    <x v="2"/>
    <x v="1"/>
    <n v="10"/>
    <n v="50"/>
    <n v="500"/>
  </r>
  <r>
    <n v="246"/>
    <x v="245"/>
    <s v="Fatima Al Mak"/>
    <x v="1"/>
    <x v="5"/>
    <n v="6"/>
    <n v="8000"/>
    <n v="48000"/>
  </r>
  <r>
    <n v="247"/>
    <x v="246"/>
    <s v="Maria Angelica"/>
    <x v="3"/>
    <x v="6"/>
    <n v="3"/>
    <n v="100"/>
    <n v="300"/>
  </r>
  <r>
    <n v="248"/>
    <x v="247"/>
    <s v="Lukas MÃ¼ller"/>
    <x v="2"/>
    <x v="6"/>
    <n v="8"/>
    <n v="100"/>
    <n v="800"/>
  </r>
  <r>
    <n v="249"/>
    <x v="248"/>
    <s v="Emily Johnson"/>
    <x v="2"/>
    <x v="5"/>
    <n v="9"/>
    <n v="120"/>
    <n v="1080"/>
  </r>
  <r>
    <n v="250"/>
    <x v="249"/>
    <s v="Ava Jenkins"/>
    <x v="3"/>
    <x v="1"/>
    <n v="8"/>
    <n v="50"/>
    <n v="400"/>
  </r>
  <r>
    <n v="251"/>
    <x v="250"/>
    <s v="Emily Johnson"/>
    <x v="1"/>
    <x v="1"/>
    <n v="3"/>
    <n v="8000"/>
    <n v="24000"/>
  </r>
  <r>
    <n v="252"/>
    <x v="251"/>
    <s v="Yui Nakamura"/>
    <x v="3"/>
    <x v="1"/>
    <n v="8"/>
    <n v="100"/>
    <n v="800"/>
  </r>
  <r>
    <n v="253"/>
    <x v="252"/>
    <s v="Mohammad Ali"/>
    <x v="3"/>
    <x v="5"/>
    <n v="3"/>
    <n v="8000"/>
    <n v="24000"/>
  </r>
  <r>
    <n v="254"/>
    <x v="253"/>
    <s v="Ethan Lee"/>
    <x v="1"/>
    <x v="4"/>
    <n v="5"/>
    <n v="600"/>
    <n v="3000"/>
  </r>
  <r>
    <n v="255"/>
    <x v="254"/>
    <s v="Emily Johnson"/>
    <x v="2"/>
    <x v="2"/>
    <n v="1"/>
    <n v="600"/>
    <n v="600"/>
  </r>
  <r>
    <n v="256"/>
    <x v="255"/>
    <s v="Olivia Brown"/>
    <x v="3"/>
    <x v="2"/>
    <n v="7"/>
    <n v="230"/>
    <n v="1610"/>
  </r>
  <r>
    <n v="257"/>
    <x v="256"/>
    <s v="Maria Angelica"/>
    <x v="0"/>
    <x v="6"/>
    <n v="8"/>
    <n v="100"/>
    <n v="800"/>
  </r>
  <r>
    <n v="258"/>
    <x v="257"/>
    <s v="Fatima Al Mak"/>
    <x v="3"/>
    <x v="5"/>
    <n v="5"/>
    <n v="50"/>
    <n v="250"/>
  </r>
  <r>
    <n v="259"/>
    <x v="258"/>
    <s v="Mohammad Ali"/>
    <x v="2"/>
    <x v="2"/>
    <n v="6"/>
    <n v="120"/>
    <n v="720"/>
  </r>
  <r>
    <n v="260"/>
    <x v="259"/>
    <s v="Fatima Al Mak"/>
    <x v="1"/>
    <x v="5"/>
    <n v="3"/>
    <n v="8000"/>
    <n v="24000"/>
  </r>
  <r>
    <n v="261"/>
    <x v="260"/>
    <s v="Mohammad Ali"/>
    <x v="0"/>
    <x v="0"/>
    <n v="3"/>
    <n v="120"/>
    <n v="360"/>
  </r>
  <r>
    <n v="262"/>
    <x v="261"/>
    <s v="Lukas MÃ¼ller"/>
    <x v="1"/>
    <x v="6"/>
    <n v="3"/>
    <n v="120"/>
    <n v="360"/>
  </r>
  <r>
    <n v="263"/>
    <x v="262"/>
    <s v="Ava Jenkins"/>
    <x v="1"/>
    <x v="5"/>
    <n v="6"/>
    <n v="100"/>
    <n v="600"/>
  </r>
  <r>
    <n v="264"/>
    <x v="263"/>
    <s v="Fatima Al Mak"/>
    <x v="3"/>
    <x v="3"/>
    <n v="2"/>
    <n v="120"/>
    <n v="240"/>
  </r>
  <r>
    <n v="265"/>
    <x v="264"/>
    <s v="Lukas MÃ¼ller"/>
    <x v="3"/>
    <x v="1"/>
    <n v="2"/>
    <n v="230"/>
    <n v="460"/>
  </r>
  <r>
    <n v="266"/>
    <x v="265"/>
    <s v="Mohammad Ali"/>
    <x v="3"/>
    <x v="5"/>
    <n v="6"/>
    <n v="600"/>
    <n v="3600"/>
  </r>
  <r>
    <n v="267"/>
    <x v="266"/>
    <s v="Ava Jenkins"/>
    <x v="0"/>
    <x v="3"/>
    <n v="7"/>
    <n v="500"/>
    <n v="3500"/>
  </r>
  <r>
    <n v="268"/>
    <x v="267"/>
    <s v="Ava Jenkins"/>
    <x v="2"/>
    <x v="0"/>
    <n v="7"/>
    <n v="600"/>
    <n v="4200"/>
  </r>
  <r>
    <n v="269"/>
    <x v="268"/>
    <s v="Emily Johnson"/>
    <x v="2"/>
    <x v="4"/>
    <n v="9"/>
    <n v="600"/>
    <n v="5400"/>
  </r>
  <r>
    <n v="270"/>
    <x v="269"/>
    <s v="Emily Johnson"/>
    <x v="3"/>
    <x v="5"/>
    <n v="4"/>
    <n v="100"/>
    <n v="400"/>
  </r>
  <r>
    <n v="271"/>
    <x v="270"/>
    <s v="Olivia Brown"/>
    <x v="0"/>
    <x v="1"/>
    <n v="4"/>
    <n v="120"/>
    <n v="480"/>
  </r>
  <r>
    <n v="272"/>
    <x v="271"/>
    <s v="Maria Angelica"/>
    <x v="3"/>
    <x v="0"/>
    <n v="4"/>
    <n v="100"/>
    <n v="400"/>
  </r>
  <r>
    <n v="273"/>
    <x v="272"/>
    <s v="Emily Johnson"/>
    <x v="1"/>
    <x v="3"/>
    <n v="7"/>
    <n v="500"/>
    <n v="3500"/>
  </r>
  <r>
    <n v="274"/>
    <x v="273"/>
    <s v="Ethan Lee"/>
    <x v="3"/>
    <x v="5"/>
    <n v="4"/>
    <n v="50"/>
    <n v="200"/>
  </r>
  <r>
    <n v="275"/>
    <x v="274"/>
    <s v="Yui Nakamura"/>
    <x v="2"/>
    <x v="0"/>
    <n v="3"/>
    <n v="100"/>
    <n v="300"/>
  </r>
  <r>
    <n v="276"/>
    <x v="275"/>
    <s v="Fatima Al Mak"/>
    <x v="1"/>
    <x v="2"/>
    <n v="5"/>
    <n v="8000"/>
    <n v="40000"/>
  </r>
  <r>
    <n v="277"/>
    <x v="276"/>
    <s v="Ava Jenkins"/>
    <x v="3"/>
    <x v="5"/>
    <n v="6"/>
    <n v="500"/>
    <n v="3000"/>
  </r>
  <r>
    <n v="278"/>
    <x v="277"/>
    <s v="Ava Jenkins"/>
    <x v="0"/>
    <x v="0"/>
    <n v="5"/>
    <n v="230"/>
    <n v="1150"/>
  </r>
  <r>
    <n v="279"/>
    <x v="278"/>
    <s v="Ava Jenkins"/>
    <x v="2"/>
    <x v="5"/>
    <n v="4"/>
    <n v="50"/>
    <n v="200"/>
  </r>
  <r>
    <n v="280"/>
    <x v="279"/>
    <s v="Lukas MÃ¼ller"/>
    <x v="3"/>
    <x v="1"/>
    <n v="9"/>
    <n v="500"/>
    <n v="4500"/>
  </r>
  <r>
    <n v="281"/>
    <x v="280"/>
    <s v="Ethan Lee"/>
    <x v="3"/>
    <x v="2"/>
    <n v="7"/>
    <n v="230"/>
    <n v="1610"/>
  </r>
  <r>
    <n v="282"/>
    <x v="281"/>
    <s v="Ava Jenkins"/>
    <x v="3"/>
    <x v="2"/>
    <n v="6"/>
    <n v="500"/>
    <n v="3000"/>
  </r>
  <r>
    <n v="283"/>
    <x v="282"/>
    <s v="Fatima Al Mak"/>
    <x v="3"/>
    <x v="6"/>
    <n v="7"/>
    <n v="500"/>
    <n v="3500"/>
  </r>
  <r>
    <n v="284"/>
    <x v="283"/>
    <s v="Ramesh Kumar"/>
    <x v="1"/>
    <x v="4"/>
    <n v="1"/>
    <n v="50"/>
    <n v="50"/>
  </r>
  <r>
    <n v="285"/>
    <x v="284"/>
    <s v="Ramesh Kumar"/>
    <x v="2"/>
    <x v="2"/>
    <n v="5"/>
    <n v="50"/>
    <n v="250"/>
  </r>
  <r>
    <n v="286"/>
    <x v="285"/>
    <s v="Ramesh Kumar"/>
    <x v="3"/>
    <x v="2"/>
    <n v="5"/>
    <n v="50"/>
    <n v="250"/>
  </r>
  <r>
    <n v="287"/>
    <x v="286"/>
    <s v="Ava Jenkins"/>
    <x v="1"/>
    <x v="5"/>
    <n v="5"/>
    <n v="600"/>
    <n v="3000"/>
  </r>
  <r>
    <n v="288"/>
    <x v="287"/>
    <s v="Ethan Lee"/>
    <x v="0"/>
    <x v="4"/>
    <n v="10"/>
    <n v="600"/>
    <n v="6000"/>
  </r>
  <r>
    <n v="289"/>
    <x v="288"/>
    <s v="Yui Nakamura"/>
    <x v="0"/>
    <x v="1"/>
    <n v="6"/>
    <n v="50"/>
    <n v="300"/>
  </r>
  <r>
    <n v="290"/>
    <x v="289"/>
    <s v="Yui Nakamura"/>
    <x v="2"/>
    <x v="6"/>
    <n v="3"/>
    <n v="8000"/>
    <n v="24000"/>
  </r>
  <r>
    <n v="291"/>
    <x v="290"/>
    <s v="Mohammad Ali"/>
    <x v="0"/>
    <x v="0"/>
    <n v="7"/>
    <n v="500"/>
    <n v="3500"/>
  </r>
  <r>
    <n v="292"/>
    <x v="291"/>
    <s v="Ethan Lee"/>
    <x v="3"/>
    <x v="5"/>
    <n v="9"/>
    <n v="100"/>
    <n v="900"/>
  </r>
  <r>
    <n v="293"/>
    <x v="292"/>
    <s v="Mohammad Ali"/>
    <x v="0"/>
    <x v="2"/>
    <n v="9"/>
    <n v="500"/>
    <n v="4500"/>
  </r>
  <r>
    <n v="294"/>
    <x v="293"/>
    <s v="Fatima Al Mak"/>
    <x v="0"/>
    <x v="4"/>
    <n v="9"/>
    <n v="8000"/>
    <n v="72000"/>
  </r>
  <r>
    <n v="295"/>
    <x v="294"/>
    <s v="Emily Johnson"/>
    <x v="3"/>
    <x v="4"/>
    <n v="2"/>
    <n v="600"/>
    <n v="1200"/>
  </r>
  <r>
    <n v="296"/>
    <x v="295"/>
    <s v="Lukas MÃ¼ller"/>
    <x v="2"/>
    <x v="2"/>
    <n v="2"/>
    <n v="50"/>
    <n v="100"/>
  </r>
  <r>
    <n v="297"/>
    <x v="296"/>
    <s v="Olivia Brown"/>
    <x v="0"/>
    <x v="4"/>
    <n v="5"/>
    <n v="500"/>
    <n v="2500"/>
  </r>
  <r>
    <n v="298"/>
    <x v="297"/>
    <s v="Emily Johnson"/>
    <x v="1"/>
    <x v="2"/>
    <n v="1"/>
    <n v="230"/>
    <n v="230"/>
  </r>
  <r>
    <n v="299"/>
    <x v="298"/>
    <s v="Lukas MÃ¼ller"/>
    <x v="2"/>
    <x v="1"/>
    <n v="4"/>
    <n v="600"/>
    <n v="2400"/>
  </r>
  <r>
    <n v="300"/>
    <x v="299"/>
    <s v="Yui Nakamura"/>
    <x v="3"/>
    <x v="1"/>
    <n v="4"/>
    <n v="230"/>
    <n v="920"/>
  </r>
  <r>
    <n v="301"/>
    <x v="300"/>
    <s v="Fatima Al Mak"/>
    <x v="0"/>
    <x v="4"/>
    <n v="8"/>
    <n v="8000"/>
    <n v="64000"/>
  </r>
  <r>
    <n v="302"/>
    <x v="301"/>
    <s v="Fatima Al Mak"/>
    <x v="2"/>
    <x v="0"/>
    <n v="1"/>
    <n v="8000"/>
    <n v="8000"/>
  </r>
  <r>
    <n v="303"/>
    <x v="302"/>
    <s v="Maria Angelica"/>
    <x v="3"/>
    <x v="3"/>
    <n v="10"/>
    <n v="8000"/>
    <n v="80000"/>
  </r>
  <r>
    <n v="304"/>
    <x v="303"/>
    <s v="Maria Angelica"/>
    <x v="0"/>
    <x v="6"/>
    <n v="10"/>
    <n v="50"/>
    <n v="500"/>
  </r>
  <r>
    <n v="305"/>
    <x v="304"/>
    <s v="Fatima Al Mak"/>
    <x v="1"/>
    <x v="2"/>
    <n v="10"/>
    <n v="100"/>
    <n v="1000"/>
  </r>
  <r>
    <n v="306"/>
    <x v="305"/>
    <s v="Yui Nakamura"/>
    <x v="3"/>
    <x v="2"/>
    <n v="8"/>
    <n v="50"/>
    <n v="400"/>
  </r>
  <r>
    <n v="307"/>
    <x v="306"/>
    <s v="Ramesh Kumar"/>
    <x v="2"/>
    <x v="1"/>
    <n v="10"/>
    <n v="120"/>
    <n v="1200"/>
  </r>
  <r>
    <n v="308"/>
    <x v="307"/>
    <s v="Mohammad Ali"/>
    <x v="3"/>
    <x v="3"/>
    <n v="6"/>
    <n v="230"/>
    <n v="1380"/>
  </r>
  <r>
    <n v="309"/>
    <x v="308"/>
    <s v="Olivia Brown"/>
    <x v="2"/>
    <x v="2"/>
    <n v="4"/>
    <n v="600"/>
    <n v="2400"/>
  </r>
  <r>
    <n v="310"/>
    <x v="309"/>
    <s v="Emily Johnson"/>
    <x v="3"/>
    <x v="5"/>
    <n v="10"/>
    <n v="8000"/>
    <n v="80000"/>
  </r>
  <r>
    <n v="311"/>
    <x v="310"/>
    <s v="Lukas MÃ¼ller"/>
    <x v="3"/>
    <x v="4"/>
    <n v="6"/>
    <n v="120"/>
    <n v="720"/>
  </r>
  <r>
    <n v="312"/>
    <x v="311"/>
    <s v="Ethan Lee"/>
    <x v="2"/>
    <x v="4"/>
    <n v="7"/>
    <n v="230"/>
    <n v="1610"/>
  </r>
  <r>
    <n v="313"/>
    <x v="312"/>
    <s v="Emily Johnson"/>
    <x v="1"/>
    <x v="4"/>
    <n v="8"/>
    <n v="600"/>
    <n v="4800"/>
  </r>
  <r>
    <n v="314"/>
    <x v="313"/>
    <s v="Fatima Al Mak"/>
    <x v="1"/>
    <x v="3"/>
    <n v="4"/>
    <n v="50"/>
    <n v="200"/>
  </r>
  <r>
    <n v="315"/>
    <x v="314"/>
    <s v="Lukas MÃ¼ller"/>
    <x v="0"/>
    <x v="5"/>
    <n v="8"/>
    <n v="8000"/>
    <n v="64000"/>
  </r>
  <r>
    <n v="316"/>
    <x v="315"/>
    <s v="Lukas MÃ¼ller"/>
    <x v="2"/>
    <x v="4"/>
    <n v="2"/>
    <n v="500"/>
    <n v="1000"/>
  </r>
  <r>
    <n v="317"/>
    <x v="316"/>
    <s v="Olivia Brown"/>
    <x v="1"/>
    <x v="6"/>
    <n v="2"/>
    <n v="8000"/>
    <n v="16000"/>
  </r>
  <r>
    <n v="318"/>
    <x v="317"/>
    <s v="Yui Nakamura"/>
    <x v="2"/>
    <x v="4"/>
    <n v="2"/>
    <n v="100"/>
    <n v="200"/>
  </r>
  <r>
    <n v="319"/>
    <x v="318"/>
    <s v="Yui Nakamura"/>
    <x v="2"/>
    <x v="4"/>
    <n v="9"/>
    <n v="120"/>
    <n v="1080"/>
  </r>
  <r>
    <n v="320"/>
    <x v="319"/>
    <s v="Fatima Al Mak"/>
    <x v="0"/>
    <x v="3"/>
    <n v="10"/>
    <n v="600"/>
    <n v="6000"/>
  </r>
  <r>
    <n v="321"/>
    <x v="320"/>
    <s v="Yui Nakamura"/>
    <x v="1"/>
    <x v="5"/>
    <n v="3"/>
    <n v="500"/>
    <n v="1500"/>
  </r>
  <r>
    <n v="322"/>
    <x v="321"/>
    <s v="Yui Nakamura"/>
    <x v="3"/>
    <x v="1"/>
    <n v="8"/>
    <n v="230"/>
    <n v="1840"/>
  </r>
  <r>
    <n v="323"/>
    <x v="322"/>
    <s v="Ramesh Kumar"/>
    <x v="1"/>
    <x v="3"/>
    <n v="10"/>
    <n v="8000"/>
    <n v="80000"/>
  </r>
  <r>
    <n v="324"/>
    <x v="323"/>
    <s v="Fatima Al Mak"/>
    <x v="3"/>
    <x v="3"/>
    <n v="4"/>
    <n v="120"/>
    <n v="480"/>
  </r>
  <r>
    <n v="325"/>
    <x v="324"/>
    <s v="Olivia Brown"/>
    <x v="0"/>
    <x v="1"/>
    <n v="8"/>
    <n v="8000"/>
    <n v="64000"/>
  </r>
  <r>
    <n v="326"/>
    <x v="325"/>
    <s v="Ramesh Kumar"/>
    <x v="3"/>
    <x v="4"/>
    <n v="6"/>
    <n v="600"/>
    <n v="3600"/>
  </r>
  <r>
    <n v="327"/>
    <x v="326"/>
    <s v="Yui Nakamura"/>
    <x v="2"/>
    <x v="4"/>
    <n v="10"/>
    <n v="50"/>
    <n v="500"/>
  </r>
  <r>
    <n v="328"/>
    <x v="327"/>
    <s v="Ethan Lee"/>
    <x v="3"/>
    <x v="5"/>
    <n v="2"/>
    <n v="600"/>
    <n v="1200"/>
  </r>
  <r>
    <n v="329"/>
    <x v="328"/>
    <s v="Ramesh Kumar"/>
    <x v="2"/>
    <x v="6"/>
    <n v="3"/>
    <n v="120"/>
    <n v="360"/>
  </r>
  <r>
    <n v="330"/>
    <x v="329"/>
    <s v="Yui Nakamura"/>
    <x v="3"/>
    <x v="2"/>
    <n v="10"/>
    <n v="500"/>
    <n v="5000"/>
  </r>
  <r>
    <n v="331"/>
    <x v="330"/>
    <s v="Ava Jenkins"/>
    <x v="0"/>
    <x v="6"/>
    <n v="7"/>
    <n v="120"/>
    <n v="840"/>
  </r>
  <r>
    <n v="332"/>
    <x v="331"/>
    <s v="Ava Jenkins"/>
    <x v="3"/>
    <x v="4"/>
    <n v="5"/>
    <n v="8000"/>
    <n v="40000"/>
  </r>
  <r>
    <n v="333"/>
    <x v="332"/>
    <s v="Maria Angelica"/>
    <x v="0"/>
    <x v="5"/>
    <n v="10"/>
    <n v="600"/>
    <n v="6000"/>
  </r>
  <r>
    <n v="334"/>
    <x v="333"/>
    <s v="Maria Angelica"/>
    <x v="0"/>
    <x v="6"/>
    <n v="5"/>
    <n v="8000"/>
    <n v="40000"/>
  </r>
  <r>
    <n v="335"/>
    <x v="334"/>
    <s v="Ramesh Kumar"/>
    <x v="2"/>
    <x v="0"/>
    <n v="5"/>
    <n v="600"/>
    <n v="3000"/>
  </r>
  <r>
    <n v="336"/>
    <x v="335"/>
    <s v="Emily Johnson"/>
    <x v="0"/>
    <x v="5"/>
    <n v="9"/>
    <n v="100"/>
    <n v="900"/>
  </r>
  <r>
    <n v="337"/>
    <x v="336"/>
    <s v="Ava Jenkins"/>
    <x v="0"/>
    <x v="6"/>
    <n v="1"/>
    <n v="120"/>
    <n v="120"/>
  </r>
  <r>
    <n v="338"/>
    <x v="337"/>
    <s v="Olivia Brown"/>
    <x v="3"/>
    <x v="5"/>
    <n v="7"/>
    <n v="50"/>
    <n v="350"/>
  </r>
  <r>
    <n v="339"/>
    <x v="338"/>
    <s v="Yui Nakamura"/>
    <x v="1"/>
    <x v="0"/>
    <n v="10"/>
    <n v="500"/>
    <n v="5000"/>
  </r>
  <r>
    <n v="340"/>
    <x v="339"/>
    <s v="Ramesh Kumar"/>
    <x v="1"/>
    <x v="1"/>
    <n v="1"/>
    <n v="600"/>
    <n v="600"/>
  </r>
  <r>
    <n v="341"/>
    <x v="340"/>
    <s v="Mohammad Ali"/>
    <x v="1"/>
    <x v="2"/>
    <n v="5"/>
    <n v="8000"/>
    <n v="40000"/>
  </r>
  <r>
    <n v="342"/>
    <x v="341"/>
    <s v="Lukas MÃ¼ller"/>
    <x v="1"/>
    <x v="0"/>
    <n v="2"/>
    <n v="230"/>
    <n v="460"/>
  </r>
  <r>
    <n v="343"/>
    <x v="342"/>
    <s v="Ethan Lee"/>
    <x v="1"/>
    <x v="2"/>
    <n v="5"/>
    <n v="8000"/>
    <n v="40000"/>
  </r>
  <r>
    <n v="344"/>
    <x v="343"/>
    <s v="Ethan Lee"/>
    <x v="1"/>
    <x v="4"/>
    <n v="9"/>
    <n v="120"/>
    <n v="1080"/>
  </r>
  <r>
    <n v="345"/>
    <x v="344"/>
    <s v="Ramesh Kumar"/>
    <x v="3"/>
    <x v="3"/>
    <n v="2"/>
    <n v="500"/>
    <n v="1000"/>
  </r>
  <r>
    <n v="346"/>
    <x v="345"/>
    <s v="Fatima Al Mak"/>
    <x v="3"/>
    <x v="2"/>
    <n v="10"/>
    <n v="120"/>
    <n v="1200"/>
  </r>
  <r>
    <n v="347"/>
    <x v="346"/>
    <s v="Emily Johnson"/>
    <x v="1"/>
    <x v="3"/>
    <n v="7"/>
    <n v="100"/>
    <n v="700"/>
  </r>
  <r>
    <n v="348"/>
    <x v="347"/>
    <s v="Ethan Lee"/>
    <x v="0"/>
    <x v="0"/>
    <n v="8"/>
    <n v="8000"/>
    <n v="64000"/>
  </r>
  <r>
    <n v="349"/>
    <x v="348"/>
    <s v="Emily Johnson"/>
    <x v="1"/>
    <x v="2"/>
    <n v="8"/>
    <n v="100"/>
    <n v="800"/>
  </r>
  <r>
    <n v="350"/>
    <x v="349"/>
    <s v="Ava Jenkins"/>
    <x v="0"/>
    <x v="1"/>
    <n v="10"/>
    <n v="230"/>
    <n v="2300"/>
  </r>
  <r>
    <n v="351"/>
    <x v="350"/>
    <s v="Ava Jenkins"/>
    <x v="0"/>
    <x v="0"/>
    <n v="5"/>
    <n v="8000"/>
    <n v="40000"/>
  </r>
  <r>
    <n v="352"/>
    <x v="351"/>
    <s v="Ethan Lee"/>
    <x v="0"/>
    <x v="2"/>
    <n v="7"/>
    <n v="600"/>
    <n v="4200"/>
  </r>
  <r>
    <n v="353"/>
    <x v="352"/>
    <s v="Emily Johnson"/>
    <x v="2"/>
    <x v="0"/>
    <n v="9"/>
    <n v="600"/>
    <n v="5400"/>
  </r>
  <r>
    <n v="354"/>
    <x v="353"/>
    <s v="Ethan Lee"/>
    <x v="1"/>
    <x v="4"/>
    <n v="2"/>
    <n v="8000"/>
    <n v="16000"/>
  </r>
  <r>
    <n v="355"/>
    <x v="354"/>
    <s v="Ethan Lee"/>
    <x v="1"/>
    <x v="2"/>
    <n v="6"/>
    <n v="500"/>
    <n v="3000"/>
  </r>
  <r>
    <n v="356"/>
    <x v="355"/>
    <s v="Mohammad Ali"/>
    <x v="1"/>
    <x v="6"/>
    <n v="4"/>
    <n v="120"/>
    <n v="480"/>
  </r>
  <r>
    <n v="357"/>
    <x v="356"/>
    <s v="Yui Nakamura"/>
    <x v="2"/>
    <x v="0"/>
    <n v="4"/>
    <n v="8000"/>
    <n v="32000"/>
  </r>
  <r>
    <n v="358"/>
    <x v="357"/>
    <s v="Maria Angelica"/>
    <x v="0"/>
    <x v="2"/>
    <n v="10"/>
    <n v="230"/>
    <n v="2300"/>
  </r>
  <r>
    <n v="359"/>
    <x v="358"/>
    <s v="Mohammad Ali"/>
    <x v="3"/>
    <x v="2"/>
    <n v="5"/>
    <n v="500"/>
    <n v="2500"/>
  </r>
  <r>
    <n v="360"/>
    <x v="359"/>
    <s v="Yui Nakamura"/>
    <x v="0"/>
    <x v="3"/>
    <n v="3"/>
    <n v="600"/>
    <n v="1800"/>
  </r>
  <r>
    <n v="361"/>
    <x v="360"/>
    <s v="Ethan Lee"/>
    <x v="0"/>
    <x v="4"/>
    <n v="7"/>
    <n v="50"/>
    <n v="350"/>
  </r>
  <r>
    <n v="362"/>
    <x v="361"/>
    <s v="Maria Angelica"/>
    <x v="0"/>
    <x v="5"/>
    <n v="8"/>
    <n v="600"/>
    <n v="4800"/>
  </r>
  <r>
    <n v="363"/>
    <x v="362"/>
    <s v="Emily Johnson"/>
    <x v="2"/>
    <x v="3"/>
    <n v="4"/>
    <n v="50"/>
    <n v="200"/>
  </r>
  <r>
    <n v="364"/>
    <x v="363"/>
    <s v="Ava Jenkins"/>
    <x v="3"/>
    <x v="2"/>
    <n v="1"/>
    <n v="50"/>
    <n v="50"/>
  </r>
  <r>
    <n v="365"/>
    <x v="364"/>
    <s v="Maria Angelica"/>
    <x v="3"/>
    <x v="2"/>
    <n v="7"/>
    <n v="600"/>
    <n v="4200"/>
  </r>
  <r>
    <n v="366"/>
    <x v="365"/>
    <s v="Ethan Lee"/>
    <x v="1"/>
    <x v="4"/>
    <n v="3"/>
    <n v="120"/>
    <n v="360"/>
  </r>
  <r>
    <n v="367"/>
    <x v="366"/>
    <s v="Ava Jenkins"/>
    <x v="3"/>
    <x v="0"/>
    <n v="8"/>
    <n v="8000"/>
    <n v="64000"/>
  </r>
  <r>
    <n v="368"/>
    <x v="367"/>
    <s v="Yui Nakamura"/>
    <x v="0"/>
    <x v="2"/>
    <n v="5"/>
    <n v="600"/>
    <n v="3000"/>
  </r>
  <r>
    <n v="369"/>
    <x v="368"/>
    <s v="Yui Nakamura"/>
    <x v="3"/>
    <x v="1"/>
    <n v="5"/>
    <n v="600"/>
    <n v="3000"/>
  </r>
  <r>
    <n v="370"/>
    <x v="369"/>
    <s v="Emily Johnson"/>
    <x v="1"/>
    <x v="2"/>
    <n v="4"/>
    <n v="600"/>
    <n v="2400"/>
  </r>
  <r>
    <n v="371"/>
    <x v="370"/>
    <s v="Maria Angelica"/>
    <x v="1"/>
    <x v="3"/>
    <n v="1"/>
    <n v="230"/>
    <n v="230"/>
  </r>
  <r>
    <n v="372"/>
    <x v="371"/>
    <s v="Maria Angelica"/>
    <x v="2"/>
    <x v="3"/>
    <n v="10"/>
    <n v="500"/>
    <n v="5000"/>
  </r>
  <r>
    <n v="373"/>
    <x v="372"/>
    <s v="Ethan Lee"/>
    <x v="0"/>
    <x v="3"/>
    <n v="5"/>
    <n v="500"/>
    <n v="2500"/>
  </r>
  <r>
    <n v="374"/>
    <x v="373"/>
    <s v="Yui Nakamura"/>
    <x v="1"/>
    <x v="0"/>
    <n v="6"/>
    <n v="100"/>
    <n v="600"/>
  </r>
  <r>
    <n v="375"/>
    <x v="374"/>
    <s v="Ethan Lee"/>
    <x v="0"/>
    <x v="0"/>
    <n v="7"/>
    <n v="120"/>
    <n v="840"/>
  </r>
  <r>
    <n v="376"/>
    <x v="375"/>
    <s v="Olivia Brown"/>
    <x v="1"/>
    <x v="1"/>
    <n v="1"/>
    <n v="8000"/>
    <n v="8000"/>
  </r>
  <r>
    <n v="377"/>
    <x v="376"/>
    <s v="Ethan Lee"/>
    <x v="3"/>
    <x v="6"/>
    <n v="9"/>
    <n v="230"/>
    <n v="2070"/>
  </r>
  <r>
    <n v="378"/>
    <x v="377"/>
    <s v="Yui Nakamura"/>
    <x v="0"/>
    <x v="0"/>
    <n v="5"/>
    <n v="100"/>
    <n v="500"/>
  </r>
  <r>
    <n v="379"/>
    <x v="378"/>
    <s v="Yui Nakamura"/>
    <x v="3"/>
    <x v="6"/>
    <n v="7"/>
    <n v="8000"/>
    <n v="56000"/>
  </r>
  <r>
    <n v="380"/>
    <x v="379"/>
    <s v="Ava Jenkins"/>
    <x v="2"/>
    <x v="6"/>
    <n v="7"/>
    <n v="50"/>
    <n v="350"/>
  </r>
  <r>
    <n v="381"/>
    <x v="380"/>
    <s v="Lukas MÃ¼ller"/>
    <x v="1"/>
    <x v="2"/>
    <n v="8"/>
    <n v="50"/>
    <n v="400"/>
  </r>
  <r>
    <n v="382"/>
    <x v="381"/>
    <s v="Ava Jenkins"/>
    <x v="2"/>
    <x v="3"/>
    <n v="3"/>
    <n v="50"/>
    <n v="150"/>
  </r>
  <r>
    <n v="383"/>
    <x v="382"/>
    <s v="Mohammad Ali"/>
    <x v="3"/>
    <x v="4"/>
    <n v="9"/>
    <n v="600"/>
    <n v="5400"/>
  </r>
  <r>
    <n v="384"/>
    <x v="383"/>
    <s v="Olivia Brown"/>
    <x v="1"/>
    <x v="0"/>
    <n v="9"/>
    <n v="600"/>
    <n v="5400"/>
  </r>
  <r>
    <n v="385"/>
    <x v="384"/>
    <s v="Lukas MÃ¼ller"/>
    <x v="3"/>
    <x v="4"/>
    <n v="2"/>
    <n v="600"/>
    <n v="1200"/>
  </r>
  <r>
    <n v="386"/>
    <x v="385"/>
    <s v="Lukas MÃ¼ller"/>
    <x v="0"/>
    <x v="1"/>
    <n v="2"/>
    <n v="100"/>
    <n v="200"/>
  </r>
  <r>
    <n v="387"/>
    <x v="386"/>
    <s v="Emily Johnson"/>
    <x v="1"/>
    <x v="2"/>
    <n v="9"/>
    <n v="230"/>
    <n v="2070"/>
  </r>
  <r>
    <n v="388"/>
    <x v="387"/>
    <s v="Lukas MÃ¼ller"/>
    <x v="2"/>
    <x v="4"/>
    <n v="2"/>
    <n v="230"/>
    <n v="460"/>
  </r>
  <r>
    <n v="389"/>
    <x v="388"/>
    <s v="Yui Nakamura"/>
    <x v="0"/>
    <x v="5"/>
    <n v="8"/>
    <n v="100"/>
    <n v="800"/>
  </r>
  <r>
    <n v="390"/>
    <x v="389"/>
    <s v="Ethan Lee"/>
    <x v="0"/>
    <x v="6"/>
    <n v="1"/>
    <n v="600"/>
    <n v="600"/>
  </r>
  <r>
    <n v="391"/>
    <x v="390"/>
    <s v="Maria Angelica"/>
    <x v="1"/>
    <x v="3"/>
    <n v="8"/>
    <n v="100"/>
    <n v="800"/>
  </r>
  <r>
    <n v="392"/>
    <x v="391"/>
    <s v="Yui Nakamura"/>
    <x v="3"/>
    <x v="6"/>
    <n v="9"/>
    <n v="8000"/>
    <n v="72000"/>
  </r>
  <r>
    <n v="393"/>
    <x v="392"/>
    <s v="Ava Jenkins"/>
    <x v="2"/>
    <x v="2"/>
    <n v="8"/>
    <n v="500"/>
    <n v="4000"/>
  </r>
  <r>
    <n v="394"/>
    <x v="393"/>
    <s v="Yui Nakamura"/>
    <x v="1"/>
    <x v="4"/>
    <n v="3"/>
    <n v="500"/>
    <n v="1500"/>
  </r>
  <r>
    <n v="395"/>
    <x v="394"/>
    <s v="Yui Nakamura"/>
    <x v="0"/>
    <x v="1"/>
    <n v="10"/>
    <n v="230"/>
    <n v="2300"/>
  </r>
  <r>
    <n v="396"/>
    <x v="395"/>
    <s v="Ramesh Kumar"/>
    <x v="2"/>
    <x v="5"/>
    <n v="10"/>
    <n v="500"/>
    <n v="5000"/>
  </r>
  <r>
    <n v="397"/>
    <x v="396"/>
    <s v="Mohammad Ali"/>
    <x v="3"/>
    <x v="4"/>
    <n v="10"/>
    <n v="230"/>
    <n v="2300"/>
  </r>
  <r>
    <n v="398"/>
    <x v="397"/>
    <s v="Olivia Brown"/>
    <x v="1"/>
    <x v="4"/>
    <n v="6"/>
    <n v="8000"/>
    <n v="48000"/>
  </r>
  <r>
    <n v="399"/>
    <x v="398"/>
    <s v="Emily Johnson"/>
    <x v="1"/>
    <x v="0"/>
    <n v="2"/>
    <n v="50"/>
    <n v="100"/>
  </r>
  <r>
    <n v="400"/>
    <x v="399"/>
    <s v="Mohammad Ali"/>
    <x v="2"/>
    <x v="6"/>
    <n v="5"/>
    <n v="120"/>
    <n v="600"/>
  </r>
  <r>
    <n v="401"/>
    <x v="400"/>
    <s v="Ethan Lee"/>
    <x v="2"/>
    <x v="0"/>
    <n v="10"/>
    <n v="500"/>
    <n v="5000"/>
  </r>
  <r>
    <n v="402"/>
    <x v="401"/>
    <s v="Fatima Al Mak"/>
    <x v="1"/>
    <x v="0"/>
    <n v="5"/>
    <n v="120"/>
    <n v="600"/>
  </r>
  <r>
    <n v="403"/>
    <x v="402"/>
    <s v="Mohammad Ali"/>
    <x v="0"/>
    <x v="4"/>
    <n v="5"/>
    <n v="100"/>
    <n v="500"/>
  </r>
  <r>
    <n v="404"/>
    <x v="403"/>
    <s v="Yui Nakamura"/>
    <x v="3"/>
    <x v="4"/>
    <n v="1"/>
    <n v="500"/>
    <n v="500"/>
  </r>
  <r>
    <n v="405"/>
    <x v="404"/>
    <s v="Ava Jenkins"/>
    <x v="1"/>
    <x v="0"/>
    <n v="9"/>
    <n v="600"/>
    <n v="5400"/>
  </r>
  <r>
    <n v="406"/>
    <x v="405"/>
    <s v="Lukas MÃ¼ller"/>
    <x v="2"/>
    <x v="1"/>
    <n v="8"/>
    <n v="230"/>
    <n v="1840"/>
  </r>
  <r>
    <n v="407"/>
    <x v="406"/>
    <s v="Yui Nakamura"/>
    <x v="3"/>
    <x v="0"/>
    <n v="10"/>
    <n v="230"/>
    <n v="2300"/>
  </r>
  <r>
    <n v="408"/>
    <x v="407"/>
    <s v="Mohammad Ali"/>
    <x v="0"/>
    <x v="1"/>
    <n v="7"/>
    <n v="230"/>
    <n v="1610"/>
  </r>
  <r>
    <n v="409"/>
    <x v="408"/>
    <s v="Maria Angelica"/>
    <x v="0"/>
    <x v="0"/>
    <n v="3"/>
    <n v="120"/>
    <n v="360"/>
  </r>
  <r>
    <n v="410"/>
    <x v="409"/>
    <s v="Ava Jenkins"/>
    <x v="3"/>
    <x v="3"/>
    <n v="10"/>
    <n v="230"/>
    <n v="2300"/>
  </r>
  <r>
    <n v="411"/>
    <x v="410"/>
    <s v="Yui Nakamura"/>
    <x v="2"/>
    <x v="4"/>
    <n v="2"/>
    <n v="600"/>
    <n v="1200"/>
  </r>
  <r>
    <n v="412"/>
    <x v="411"/>
    <s v="Ethan Lee"/>
    <x v="2"/>
    <x v="1"/>
    <n v="4"/>
    <n v="8000"/>
    <n v="32000"/>
  </r>
  <r>
    <n v="413"/>
    <x v="412"/>
    <s v="Ethan Lee"/>
    <x v="3"/>
    <x v="6"/>
    <n v="10"/>
    <n v="500"/>
    <n v="5000"/>
  </r>
  <r>
    <n v="414"/>
    <x v="413"/>
    <s v="Ava Jenkins"/>
    <x v="1"/>
    <x v="4"/>
    <n v="6"/>
    <n v="120"/>
    <n v="720"/>
  </r>
  <r>
    <n v="415"/>
    <x v="414"/>
    <s v="Emily Johnson"/>
    <x v="3"/>
    <x v="4"/>
    <n v="1"/>
    <n v="8000"/>
    <n v="8000"/>
  </r>
  <r>
    <n v="416"/>
    <x v="415"/>
    <s v="Emily Johnson"/>
    <x v="0"/>
    <x v="6"/>
    <n v="3"/>
    <n v="120"/>
    <n v="360"/>
  </r>
  <r>
    <n v="417"/>
    <x v="416"/>
    <s v="Ethan Lee"/>
    <x v="0"/>
    <x v="2"/>
    <n v="9"/>
    <n v="100"/>
    <n v="900"/>
  </r>
  <r>
    <n v="418"/>
    <x v="417"/>
    <s v="Emily Johnson"/>
    <x v="2"/>
    <x v="4"/>
    <n v="6"/>
    <n v="100"/>
    <n v="600"/>
  </r>
  <r>
    <n v="419"/>
    <x v="418"/>
    <s v="Maria Angelica"/>
    <x v="0"/>
    <x v="6"/>
    <n v="2"/>
    <n v="500"/>
    <n v="1000"/>
  </r>
  <r>
    <n v="420"/>
    <x v="419"/>
    <s v="Ethan Lee"/>
    <x v="3"/>
    <x v="3"/>
    <n v="4"/>
    <n v="500"/>
    <n v="2000"/>
  </r>
  <r>
    <n v="421"/>
    <x v="420"/>
    <s v="Ramesh Kumar"/>
    <x v="2"/>
    <x v="0"/>
    <n v="6"/>
    <n v="100"/>
    <n v="600"/>
  </r>
  <r>
    <n v="422"/>
    <x v="421"/>
    <s v="Emily Johnson"/>
    <x v="3"/>
    <x v="0"/>
    <n v="6"/>
    <n v="600"/>
    <n v="3600"/>
  </r>
  <r>
    <n v="423"/>
    <x v="422"/>
    <s v="Ethan Lee"/>
    <x v="1"/>
    <x v="1"/>
    <n v="3"/>
    <n v="500"/>
    <n v="1500"/>
  </r>
  <r>
    <n v="424"/>
    <x v="423"/>
    <s v="Yui Nakamura"/>
    <x v="2"/>
    <x v="0"/>
    <n v="10"/>
    <n v="120"/>
    <n v="1200"/>
  </r>
  <r>
    <n v="425"/>
    <x v="424"/>
    <s v="Ava Jenkins"/>
    <x v="2"/>
    <x v="0"/>
    <n v="2"/>
    <n v="8000"/>
    <n v="16000"/>
  </r>
  <r>
    <n v="426"/>
    <x v="425"/>
    <s v="Ethan Lee"/>
    <x v="0"/>
    <x v="0"/>
    <n v="1"/>
    <n v="230"/>
    <n v="230"/>
  </r>
  <r>
    <n v="427"/>
    <x v="426"/>
    <s v="Emily Johnson"/>
    <x v="2"/>
    <x v="1"/>
    <n v="8"/>
    <n v="600"/>
    <n v="4800"/>
  </r>
  <r>
    <n v="428"/>
    <x v="427"/>
    <s v="Ramesh Kumar"/>
    <x v="0"/>
    <x v="6"/>
    <n v="4"/>
    <n v="50"/>
    <n v="200"/>
  </r>
  <r>
    <n v="429"/>
    <x v="428"/>
    <s v="Emily Johnson"/>
    <x v="1"/>
    <x v="0"/>
    <n v="3"/>
    <n v="600"/>
    <n v="1800"/>
  </r>
  <r>
    <n v="430"/>
    <x v="429"/>
    <s v="Emily Johnson"/>
    <x v="3"/>
    <x v="5"/>
    <n v="6"/>
    <n v="100"/>
    <n v="600"/>
  </r>
  <r>
    <n v="431"/>
    <x v="430"/>
    <s v="Olivia Brown"/>
    <x v="1"/>
    <x v="1"/>
    <n v="8"/>
    <n v="500"/>
    <n v="4000"/>
  </r>
  <r>
    <n v="432"/>
    <x v="431"/>
    <s v="Ethan Lee"/>
    <x v="3"/>
    <x v="3"/>
    <n v="7"/>
    <n v="230"/>
    <n v="1610"/>
  </r>
  <r>
    <n v="433"/>
    <x v="432"/>
    <s v="Maria Angelica"/>
    <x v="3"/>
    <x v="3"/>
    <n v="7"/>
    <n v="230"/>
    <n v="1610"/>
  </r>
  <r>
    <n v="434"/>
    <x v="433"/>
    <s v="Lukas MÃ¼ller"/>
    <x v="0"/>
    <x v="0"/>
    <n v="3"/>
    <n v="500"/>
    <n v="1500"/>
  </r>
  <r>
    <n v="435"/>
    <x v="434"/>
    <s v="Ethan Lee"/>
    <x v="0"/>
    <x v="0"/>
    <n v="10"/>
    <n v="230"/>
    <n v="2300"/>
  </r>
  <r>
    <n v="436"/>
    <x v="435"/>
    <s v="Mohammad Ali"/>
    <x v="1"/>
    <x v="1"/>
    <n v="2"/>
    <n v="230"/>
    <n v="460"/>
  </r>
  <r>
    <n v="437"/>
    <x v="436"/>
    <s v="Mohammad Ali"/>
    <x v="0"/>
    <x v="2"/>
    <n v="7"/>
    <n v="8000"/>
    <n v="56000"/>
  </r>
  <r>
    <n v="438"/>
    <x v="437"/>
    <s v="Yui Nakamura"/>
    <x v="1"/>
    <x v="2"/>
    <n v="8"/>
    <n v="100"/>
    <n v="800"/>
  </r>
  <r>
    <n v="439"/>
    <x v="438"/>
    <s v="Ethan Lee"/>
    <x v="0"/>
    <x v="2"/>
    <n v="10"/>
    <n v="50"/>
    <n v="500"/>
  </r>
  <r>
    <n v="440"/>
    <x v="439"/>
    <s v="Ethan Lee"/>
    <x v="1"/>
    <x v="6"/>
    <n v="5"/>
    <n v="600"/>
    <n v="3000"/>
  </r>
  <r>
    <n v="441"/>
    <x v="440"/>
    <s v="Mohammad Ali"/>
    <x v="2"/>
    <x v="4"/>
    <n v="3"/>
    <n v="230"/>
    <n v="690"/>
  </r>
  <r>
    <n v="442"/>
    <x v="441"/>
    <s v="Maria Angelica"/>
    <x v="3"/>
    <x v="5"/>
    <n v="6"/>
    <n v="120"/>
    <n v="720"/>
  </r>
  <r>
    <n v="443"/>
    <x v="442"/>
    <s v="Fatima Al Mak"/>
    <x v="0"/>
    <x v="2"/>
    <n v="8"/>
    <n v="120"/>
    <n v="960"/>
  </r>
  <r>
    <n v="444"/>
    <x v="443"/>
    <s v="Lukas MÃ¼ller"/>
    <x v="2"/>
    <x v="4"/>
    <n v="4"/>
    <n v="50"/>
    <n v="200"/>
  </r>
  <r>
    <n v="445"/>
    <x v="444"/>
    <s v="Ava Jenkins"/>
    <x v="3"/>
    <x v="4"/>
    <n v="1"/>
    <n v="230"/>
    <n v="230"/>
  </r>
  <r>
    <n v="446"/>
    <x v="445"/>
    <s v="Ramesh Kumar"/>
    <x v="2"/>
    <x v="5"/>
    <n v="7"/>
    <n v="500"/>
    <n v="3500"/>
  </r>
  <r>
    <n v="447"/>
    <x v="446"/>
    <s v="Maria Angelica"/>
    <x v="0"/>
    <x v="1"/>
    <n v="10"/>
    <n v="120"/>
    <n v="1200"/>
  </r>
  <r>
    <n v="448"/>
    <x v="447"/>
    <s v="Ethan Lee"/>
    <x v="1"/>
    <x v="0"/>
    <n v="8"/>
    <n v="120"/>
    <n v="960"/>
  </r>
  <r>
    <n v="449"/>
    <x v="448"/>
    <s v="Fatima Al Mak"/>
    <x v="0"/>
    <x v="1"/>
    <n v="4"/>
    <n v="120"/>
    <n v="480"/>
  </r>
  <r>
    <n v="450"/>
    <x v="449"/>
    <s v="Emily Johnson"/>
    <x v="0"/>
    <x v="3"/>
    <n v="9"/>
    <n v="8000"/>
    <n v="72000"/>
  </r>
  <r>
    <n v="451"/>
    <x v="450"/>
    <s v="Maria Angelica"/>
    <x v="1"/>
    <x v="6"/>
    <n v="4"/>
    <n v="8000"/>
    <n v="32000"/>
  </r>
  <r>
    <n v="452"/>
    <x v="451"/>
    <s v="Lukas MÃ¼ller"/>
    <x v="3"/>
    <x v="6"/>
    <n v="3"/>
    <n v="100"/>
    <n v="300"/>
  </r>
  <r>
    <n v="453"/>
    <x v="452"/>
    <s v="Ethan Lee"/>
    <x v="3"/>
    <x v="1"/>
    <n v="5"/>
    <n v="600"/>
    <n v="3000"/>
  </r>
  <r>
    <n v="454"/>
    <x v="453"/>
    <s v="Ramesh Kumar"/>
    <x v="3"/>
    <x v="1"/>
    <n v="5"/>
    <n v="500"/>
    <n v="2500"/>
  </r>
  <r>
    <n v="455"/>
    <x v="454"/>
    <s v="Yui Nakamura"/>
    <x v="1"/>
    <x v="2"/>
    <n v="9"/>
    <n v="100"/>
    <n v="900"/>
  </r>
  <r>
    <n v="456"/>
    <x v="455"/>
    <s v="Lukas MÃ¼ller"/>
    <x v="2"/>
    <x v="0"/>
    <n v="4"/>
    <n v="230"/>
    <n v="920"/>
  </r>
  <r>
    <n v="457"/>
    <x v="456"/>
    <s v="Fatima Al Mak"/>
    <x v="0"/>
    <x v="5"/>
    <n v="10"/>
    <n v="230"/>
    <n v="2300"/>
  </r>
  <r>
    <n v="458"/>
    <x v="457"/>
    <s v="Ramesh Kumar"/>
    <x v="2"/>
    <x v="3"/>
    <n v="6"/>
    <n v="50"/>
    <n v="300"/>
  </r>
  <r>
    <n v="459"/>
    <x v="458"/>
    <s v="Yui Nakamura"/>
    <x v="0"/>
    <x v="4"/>
    <n v="6"/>
    <n v="230"/>
    <n v="1380"/>
  </r>
  <r>
    <n v="460"/>
    <x v="459"/>
    <s v="Yui Nakamura"/>
    <x v="2"/>
    <x v="2"/>
    <n v="4"/>
    <n v="8000"/>
    <n v="32000"/>
  </r>
  <r>
    <n v="461"/>
    <x v="460"/>
    <s v="Maria Angelica"/>
    <x v="1"/>
    <x v="2"/>
    <n v="8"/>
    <n v="120"/>
    <n v="960"/>
  </r>
  <r>
    <n v="462"/>
    <x v="461"/>
    <s v="Olivia Brown"/>
    <x v="1"/>
    <x v="1"/>
    <n v="8"/>
    <n v="50"/>
    <n v="400"/>
  </r>
  <r>
    <n v="463"/>
    <x v="462"/>
    <s v="Mohammad Ali"/>
    <x v="3"/>
    <x v="3"/>
    <n v="1"/>
    <n v="600"/>
    <n v="600"/>
  </r>
  <r>
    <n v="464"/>
    <x v="463"/>
    <s v="Maria Angelica"/>
    <x v="3"/>
    <x v="1"/>
    <n v="2"/>
    <n v="50"/>
    <n v="100"/>
  </r>
  <r>
    <n v="465"/>
    <x v="464"/>
    <s v="Ramesh Kumar"/>
    <x v="2"/>
    <x v="5"/>
    <n v="3"/>
    <n v="600"/>
    <n v="1800"/>
  </r>
  <r>
    <n v="466"/>
    <x v="465"/>
    <s v="Ramesh Kumar"/>
    <x v="0"/>
    <x v="2"/>
    <n v="9"/>
    <n v="500"/>
    <n v="4500"/>
  </r>
  <r>
    <n v="467"/>
    <x v="466"/>
    <s v="Fatima Al Mak"/>
    <x v="1"/>
    <x v="4"/>
    <n v="8"/>
    <n v="230"/>
    <n v="1840"/>
  </r>
  <r>
    <n v="468"/>
    <x v="467"/>
    <s v="Ramesh Kumar"/>
    <x v="1"/>
    <x v="4"/>
    <n v="9"/>
    <n v="230"/>
    <n v="2070"/>
  </r>
  <r>
    <n v="469"/>
    <x v="468"/>
    <s v="Lukas MÃ¼ller"/>
    <x v="1"/>
    <x v="4"/>
    <n v="9"/>
    <n v="500"/>
    <n v="4500"/>
  </r>
  <r>
    <n v="470"/>
    <x v="469"/>
    <s v="Lukas MÃ¼ller"/>
    <x v="1"/>
    <x v="3"/>
    <n v="3"/>
    <n v="50"/>
    <n v="150"/>
  </r>
  <r>
    <n v="471"/>
    <x v="470"/>
    <s v="Mohammad Ali"/>
    <x v="3"/>
    <x v="0"/>
    <n v="5"/>
    <n v="50"/>
    <n v="250"/>
  </r>
  <r>
    <n v="472"/>
    <x v="471"/>
    <s v="Maria Angelica"/>
    <x v="2"/>
    <x v="0"/>
    <n v="3"/>
    <n v="230"/>
    <n v="690"/>
  </r>
  <r>
    <n v="473"/>
    <x v="472"/>
    <s v="Ava Jenkins"/>
    <x v="2"/>
    <x v="3"/>
    <n v="3"/>
    <n v="8000"/>
    <n v="24000"/>
  </r>
  <r>
    <n v="474"/>
    <x v="473"/>
    <s v="Lukas MÃ¼ller"/>
    <x v="3"/>
    <x v="4"/>
    <n v="7"/>
    <n v="230"/>
    <n v="1610"/>
  </r>
  <r>
    <n v="475"/>
    <x v="474"/>
    <s v="Ethan Lee"/>
    <x v="3"/>
    <x v="6"/>
    <n v="8"/>
    <n v="120"/>
    <n v="960"/>
  </r>
  <r>
    <n v="476"/>
    <x v="475"/>
    <s v="Lukas MÃ¼ller"/>
    <x v="2"/>
    <x v="2"/>
    <n v="8"/>
    <n v="500"/>
    <n v="4000"/>
  </r>
  <r>
    <n v="477"/>
    <x v="476"/>
    <s v="Ava Jenkins"/>
    <x v="2"/>
    <x v="0"/>
    <n v="1"/>
    <n v="8000"/>
    <n v="8000"/>
  </r>
  <r>
    <n v="478"/>
    <x v="477"/>
    <s v="Lukas MÃ¼ller"/>
    <x v="1"/>
    <x v="6"/>
    <n v="7"/>
    <n v="50"/>
    <n v="350"/>
  </r>
  <r>
    <n v="479"/>
    <x v="478"/>
    <s v="Mohammad Ali"/>
    <x v="2"/>
    <x v="0"/>
    <n v="3"/>
    <n v="600"/>
    <n v="1800"/>
  </r>
  <r>
    <n v="480"/>
    <x v="479"/>
    <s v="Ramesh Kumar"/>
    <x v="2"/>
    <x v="3"/>
    <n v="5"/>
    <n v="500"/>
    <n v="2500"/>
  </r>
  <r>
    <n v="481"/>
    <x v="480"/>
    <s v="Fatima Al Mak"/>
    <x v="2"/>
    <x v="1"/>
    <n v="7"/>
    <n v="100"/>
    <n v="700"/>
  </r>
  <r>
    <n v="482"/>
    <x v="481"/>
    <s v="Fatima Al Mak"/>
    <x v="1"/>
    <x v="1"/>
    <n v="4"/>
    <n v="230"/>
    <n v="920"/>
  </r>
  <r>
    <n v="483"/>
    <x v="482"/>
    <s v="Lukas MÃ¼ller"/>
    <x v="2"/>
    <x v="2"/>
    <n v="5"/>
    <n v="600"/>
    <n v="3000"/>
  </r>
  <r>
    <n v="484"/>
    <x v="483"/>
    <s v="Ethan Lee"/>
    <x v="3"/>
    <x v="2"/>
    <n v="9"/>
    <n v="500"/>
    <n v="4500"/>
  </r>
  <r>
    <n v="485"/>
    <x v="484"/>
    <s v="Ava Jenkins"/>
    <x v="2"/>
    <x v="3"/>
    <n v="6"/>
    <n v="50"/>
    <n v="300"/>
  </r>
  <r>
    <n v="486"/>
    <x v="485"/>
    <s v="Ava Jenkins"/>
    <x v="1"/>
    <x v="5"/>
    <n v="7"/>
    <n v="100"/>
    <n v="700"/>
  </r>
  <r>
    <n v="487"/>
    <x v="486"/>
    <s v="Ethan Lee"/>
    <x v="3"/>
    <x v="5"/>
    <n v="5"/>
    <n v="8000"/>
    <n v="40000"/>
  </r>
  <r>
    <n v="488"/>
    <x v="487"/>
    <s v="Maria Angelica"/>
    <x v="1"/>
    <x v="5"/>
    <n v="9"/>
    <n v="500"/>
    <n v="4500"/>
  </r>
  <r>
    <n v="489"/>
    <x v="488"/>
    <s v="Mohammad Ali"/>
    <x v="0"/>
    <x v="1"/>
    <n v="4"/>
    <n v="600"/>
    <n v="2400"/>
  </r>
  <r>
    <n v="490"/>
    <x v="489"/>
    <s v="Ramesh Kumar"/>
    <x v="3"/>
    <x v="3"/>
    <n v="5"/>
    <n v="600"/>
    <n v="3000"/>
  </r>
  <r>
    <n v="491"/>
    <x v="490"/>
    <s v="Olivia Brown"/>
    <x v="3"/>
    <x v="4"/>
    <n v="5"/>
    <n v="100"/>
    <n v="500"/>
  </r>
  <r>
    <n v="492"/>
    <x v="491"/>
    <s v="Ramesh Kumar"/>
    <x v="3"/>
    <x v="5"/>
    <n v="10"/>
    <n v="100"/>
    <n v="1000"/>
  </r>
  <r>
    <n v="493"/>
    <x v="492"/>
    <s v="Mohammad Ali"/>
    <x v="1"/>
    <x v="1"/>
    <n v="4"/>
    <n v="8000"/>
    <n v="32000"/>
  </r>
  <r>
    <n v="494"/>
    <x v="493"/>
    <s v="Emily Johnson"/>
    <x v="0"/>
    <x v="2"/>
    <n v="2"/>
    <n v="50"/>
    <n v="100"/>
  </r>
  <r>
    <n v="495"/>
    <x v="494"/>
    <s v="Mohammad Ali"/>
    <x v="0"/>
    <x v="6"/>
    <n v="3"/>
    <n v="100"/>
    <n v="300"/>
  </r>
  <r>
    <n v="496"/>
    <x v="495"/>
    <s v="Ethan Lee"/>
    <x v="2"/>
    <x v="5"/>
    <n v="1"/>
    <n v="120"/>
    <n v="120"/>
  </r>
  <r>
    <n v="497"/>
    <x v="496"/>
    <s v="Mohammad Ali"/>
    <x v="1"/>
    <x v="3"/>
    <n v="1"/>
    <n v="230"/>
    <n v="230"/>
  </r>
  <r>
    <n v="498"/>
    <x v="497"/>
    <s v="Ava Jenkins"/>
    <x v="1"/>
    <x v="3"/>
    <n v="9"/>
    <n v="230"/>
    <n v="2070"/>
  </r>
  <r>
    <n v="499"/>
    <x v="498"/>
    <s v="Maria Angelica"/>
    <x v="0"/>
    <x v="2"/>
    <n v="2"/>
    <n v="230"/>
    <n v="460"/>
  </r>
  <r>
    <n v="500"/>
    <x v="499"/>
    <s v="Ethan Lee"/>
    <x v="0"/>
    <x v="3"/>
    <n v="2"/>
    <n v="500"/>
    <n v="1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1F6191-0312-42EB-994A-CD7FB1A1A6F7}"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B8" firstHeaderRow="1" firstDataRow="1" firstDataCol="1"/>
  <pivotFields count="11">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axis="axisRow" showAll="0">
      <items count="5">
        <item x="1"/>
        <item x="2"/>
        <item x="3"/>
        <item x="0"/>
        <item t="default"/>
      </items>
    </pivotField>
    <pivotField showAll="0">
      <items count="8">
        <item h="1" x="6"/>
        <item x="3"/>
        <item h="1" x="1"/>
        <item h="1" x="4"/>
        <item h="1" x="5"/>
        <item h="1" x="2"/>
        <item h="1" x="0"/>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5">
    <i>
      <x/>
    </i>
    <i>
      <x v="1"/>
    </i>
    <i>
      <x v="2"/>
    </i>
    <i>
      <x v="3"/>
    </i>
    <i t="grand">
      <x/>
    </i>
  </rowItems>
  <colItems count="1">
    <i/>
  </colItems>
  <dataFields count="1">
    <dataField name="Sum of Amount" fld="7" baseField="0" baseItem="0" numFmtId="164"/>
  </dataFields>
  <formats count="1">
    <format dxfId="90">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3" count="1" selected="0">
            <x v="0"/>
          </reference>
        </references>
      </pivotArea>
    </chartFormat>
    <chartFormat chart="2" format="4">
      <pivotArea type="data" outline="0" fieldPosition="0">
        <references count="2">
          <reference field="4294967294" count="1" selected="0">
            <x v="0"/>
          </reference>
          <reference field="3" count="1" selected="0">
            <x v="1"/>
          </reference>
        </references>
      </pivotArea>
    </chartFormat>
    <chartFormat chart="2" format="5">
      <pivotArea type="data" outline="0" fieldPosition="0">
        <references count="2">
          <reference field="4294967294" count="1" selected="0">
            <x v="0"/>
          </reference>
          <reference field="3" count="1" selected="0">
            <x v="2"/>
          </reference>
        </references>
      </pivotArea>
    </chartFormat>
    <chartFormat chart="2" format="6">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D4F44F-954B-4343-9CD6-D23FBE721390}"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J3:K5" firstHeaderRow="1" firstDataRow="1" firstDataCol="1"/>
  <pivotFields count="11">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items count="5">
        <item x="1"/>
        <item x="2"/>
        <item x="3"/>
        <item x="0"/>
        <item t="default"/>
      </items>
    </pivotField>
    <pivotField axis="axisRow" showAll="0">
      <items count="8">
        <item h="1" x="6"/>
        <item x="3"/>
        <item h="1" x="1"/>
        <item h="1" x="4"/>
        <item h="1" x="5"/>
        <item h="1" x="2"/>
        <item h="1" x="0"/>
        <item t="default"/>
      </items>
    </pivotField>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4"/>
  </rowFields>
  <rowItems count="2">
    <i>
      <x v="1"/>
    </i>
    <i t="grand">
      <x/>
    </i>
  </rowItems>
  <colItems count="1">
    <i/>
  </colItems>
  <dataFields count="1">
    <dataField name="Sum of Qty" fld="5" baseField="0" baseItem="0"/>
  </dataFields>
  <formats count="1">
    <format dxfId="91">
      <pivotArea outline="0" collapsedLevelsAreSubtotals="1" fieldPosition="0"/>
    </format>
  </format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334B76-A99B-46D0-A911-EF2FFB7E3AC4}"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G3:H5" firstHeaderRow="1" firstDataRow="1" firstDataCol="1"/>
  <pivotFields count="11">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items count="5">
        <item x="1"/>
        <item x="2"/>
        <item x="3"/>
        <item x="0"/>
        <item t="default"/>
      </items>
    </pivotField>
    <pivotField axis="axisRow" showAll="0">
      <items count="8">
        <item h="1" x="6"/>
        <item x="3"/>
        <item h="1" x="1"/>
        <item h="1" x="4"/>
        <item h="1" x="5"/>
        <item h="1" x="2"/>
        <item h="1" x="0"/>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4"/>
  </rowFields>
  <rowItems count="2">
    <i>
      <x v="1"/>
    </i>
    <i t="grand">
      <x/>
    </i>
  </rowItems>
  <colItems count="1">
    <i/>
  </colItems>
  <dataFields count="1">
    <dataField name="Sum of Amount" fld="7" baseField="0" baseItem="0" numFmtId="165"/>
  </dataFields>
  <formats count="6">
    <format dxfId="97">
      <pivotArea type="all" dataOnly="0" outline="0" fieldPosition="0"/>
    </format>
    <format dxfId="96">
      <pivotArea outline="0" collapsedLevelsAreSubtotals="1" fieldPosition="0"/>
    </format>
    <format dxfId="95">
      <pivotArea field="4" type="button" dataOnly="0" labelOnly="1" outline="0" axis="axisRow" fieldPosition="0"/>
    </format>
    <format dxfId="94">
      <pivotArea dataOnly="0" labelOnly="1" fieldPosition="0">
        <references count="1">
          <reference field="4" count="0"/>
        </references>
      </pivotArea>
    </format>
    <format dxfId="93">
      <pivotArea dataOnly="0" labelOnly="1" grandRow="1" outline="0" fieldPosition="0"/>
    </format>
    <format dxfId="92">
      <pivotArea dataOnly="0" labelOnly="1" outline="0" axis="axisValues" fieldPosition="0"/>
    </format>
  </formats>
  <chartFormats count="3">
    <chartFormat chart="3"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17B4E1-8432-429B-96A2-D369956BC32E}"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D3:E16" firstHeaderRow="1" firstDataRow="1" firstDataCol="1"/>
  <pivotFields count="11">
    <pivotField showAll="0"/>
    <pivotField axis="axisRow"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items count="5">
        <item x="1"/>
        <item x="2"/>
        <item x="3"/>
        <item x="0"/>
        <item t="default"/>
      </items>
    </pivotField>
    <pivotField showAll="0">
      <items count="8">
        <item h="1" x="6"/>
        <item x="3"/>
        <item h="1" x="1"/>
        <item h="1" x="4"/>
        <item h="1" x="5"/>
        <item h="1" x="2"/>
        <item h="1" x="0"/>
        <item t="default"/>
      </items>
    </pivotField>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8"/>
    <field x="1"/>
  </rowFields>
  <rowItems count="13">
    <i>
      <x v="1"/>
    </i>
    <i>
      <x v="2"/>
    </i>
    <i>
      <x v="3"/>
    </i>
    <i>
      <x v="4"/>
    </i>
    <i>
      <x v="5"/>
    </i>
    <i>
      <x v="6"/>
    </i>
    <i>
      <x v="7"/>
    </i>
    <i>
      <x v="8"/>
    </i>
    <i>
      <x v="9"/>
    </i>
    <i>
      <x v="10"/>
    </i>
    <i>
      <x v="11"/>
    </i>
    <i>
      <x v="12"/>
    </i>
    <i t="grand">
      <x/>
    </i>
  </rowItems>
  <colItems count="1">
    <i/>
  </colItems>
  <dataFields count="1">
    <dataField name="Sum of Amount" fld="7" baseField="0" baseItem="0" numFmtId="164"/>
  </dataFields>
  <formats count="1">
    <format dxfId="98">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D7CDD41E-EAF4-428B-8368-48AFAF452B40}" sourceName="Item">
  <pivotTables>
    <pivotTable tabId="3" name="PivotTable2"/>
    <pivotTable tabId="3" name="PivotTable3"/>
    <pivotTable tabId="3" name="PivotTable4"/>
    <pivotTable tabId="3" name="PivotTable5"/>
  </pivotTables>
  <data>
    <tabular pivotCacheId="181324114">
      <items count="7">
        <i x="6"/>
        <i x="3" s="1"/>
        <i x="1"/>
        <i x="4"/>
        <i x="5"/>
        <i x="2"/>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76DF6AB-0691-4667-87B4-7CAD2084E14B}" sourceName="Region">
  <pivotTables>
    <pivotTable tabId="3" name="PivotTable2"/>
    <pivotTable tabId="3" name="PivotTable3"/>
    <pivotTable tabId="3" name="PivotTable4"/>
    <pivotTable tabId="3" name="PivotTable5"/>
  </pivotTables>
  <data>
    <tabular pivotCacheId="181324114">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1" xr10:uid="{189CE905-BA6C-4D5A-B73A-0181EF3077AD}" cache="Slicer_Item" caption="Item" columnCount="7" style="SlicerStyleLight6" rowHeight="247650"/>
  <slicer name="Region 1" xr10:uid="{91513CBF-2FFA-4D18-BAEF-223762C18332}" cache="Slicer_Region" caption="Region" columnCount="2" style="SlicerStyleLight3"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xr10:uid="{FBE1963D-14C7-4CCE-B5DC-66154E5A5A1E}" cache="Slicer_Item" caption="Item" rowHeight="247650"/>
  <slicer name="Region" xr10:uid="{73013A5A-F2FE-4C91-9061-B4493DF33250}" cache="Slicer_Region" caption="Region"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3603D71-78ED-4490-A21F-3C5121AFAEC5}" name="Table1" displayName="Table1" ref="A3:H86" totalsRowShown="0">
  <autoFilter ref="A3:H86" xr:uid="{93603D71-78ED-4490-A21F-3C5121AFAEC5}"/>
  <tableColumns count="8">
    <tableColumn id="1" xr3:uid="{DEF12763-290D-47AE-8017-2EDA72CB74DF}" name="Sl No"/>
    <tableColumn id="2" xr3:uid="{69697DE4-CCA6-4D79-B6A4-DD42FC88ED4F}" name="Date" dataDxfId="99"/>
    <tableColumn id="3" xr3:uid="{FF79B8F9-7A24-4F9F-AACE-5B77A7FD92C2}" name="Customer"/>
    <tableColumn id="4" xr3:uid="{BC8A8C4D-D111-44D6-B768-1920BEC54FDE}" name="Region"/>
    <tableColumn id="5" xr3:uid="{01027C0D-F750-41A4-A75A-82032B65A921}" name="Item"/>
    <tableColumn id="6" xr3:uid="{64E56D23-FB93-4830-BDD5-6EB5216C7C0A}" name="Qty"/>
    <tableColumn id="7" xr3:uid="{6FF224CC-E6B2-4800-BEF7-ED335E7C1425}" name="Price"/>
    <tableColumn id="8" xr3:uid="{74DEC2A1-82E9-4247-90DB-E4D2A5AC293E}" name="Am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1C2021A-48F0-41DF-B372-9CBBA616CCEA}" sourceName="Date">
  <pivotTables>
    <pivotTable tabId="3" name="PivotTable2"/>
    <pivotTable tabId="3" name="PivotTable3"/>
    <pivotTable tabId="3" name="PivotTable4"/>
    <pivotTable tabId="3" name="PivotTable5"/>
  </pivotTables>
  <state minimalRefreshVersion="6" lastRefreshVersion="6" pivotCacheId="181324114" filterType="unknown">
    <bounds startDate="2025-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92950F47-C182-4BCC-A991-4BFC3BACBB98}" cache="NativeTimeline_Date" caption="Date" showSelectionLabel="0" showTimeLevel="0" showHorizontalScrollbar="0" level="2" selectionLevel="2" scrollPosition="2027-03-01T00:00:00" style="TimeSlicerStyleLight3"/>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72685E5B-815A-4DE5-BBA2-A2498356F541}" cache="NativeTimeline_Date" caption="Date" level="2" selectionLevel="2" scrollPosition="2026-11-1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2.xml"/><Relationship Id="rId5" Type="http://schemas.openxmlformats.org/officeDocument/2006/relationships/drawing" Target="../drawings/drawing3.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2ADCA-5890-4494-8B3D-DF76FF231EA9}">
  <dimension ref="A1"/>
  <sheetViews>
    <sheetView showGridLines="0" tabSelected="1" zoomScale="93"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6C15F-41B1-4032-98DE-259EFAF2F562}">
  <dimension ref="A1:H86"/>
  <sheetViews>
    <sheetView workbookViewId="0"/>
  </sheetViews>
  <sheetFormatPr defaultRowHeight="14.4" x14ac:dyDescent="0.3"/>
  <cols>
    <col min="1" max="1" width="13.6640625" customWidth="1"/>
    <col min="2" max="2" width="18.88671875" customWidth="1"/>
    <col min="3" max="3" width="16.6640625" customWidth="1"/>
    <col min="4" max="4" width="12.5546875" customWidth="1"/>
    <col min="5" max="5" width="11.44140625" customWidth="1"/>
    <col min="6" max="7" width="9" bestFit="1" customWidth="1"/>
    <col min="8" max="8" width="9.6640625" bestFit="1" customWidth="1"/>
  </cols>
  <sheetData>
    <row r="1" spans="1:8" x14ac:dyDescent="0.3">
      <c r="A1" s="5" t="s">
        <v>26</v>
      </c>
    </row>
    <row r="3" spans="1:8" x14ac:dyDescent="0.3">
      <c r="A3" t="s">
        <v>0</v>
      </c>
      <c r="B3" t="s">
        <v>1</v>
      </c>
      <c r="C3" t="s">
        <v>2</v>
      </c>
      <c r="D3" t="s">
        <v>3</v>
      </c>
      <c r="E3" t="s">
        <v>4</v>
      </c>
      <c r="F3" t="s">
        <v>5</v>
      </c>
      <c r="G3" t="s">
        <v>6</v>
      </c>
      <c r="H3" t="s">
        <v>7</v>
      </c>
    </row>
    <row r="4" spans="1:8" x14ac:dyDescent="0.3">
      <c r="A4">
        <v>493</v>
      </c>
      <c r="B4" s="4">
        <v>46408</v>
      </c>
      <c r="C4" t="s">
        <v>13</v>
      </c>
      <c r="D4" t="s">
        <v>11</v>
      </c>
      <c r="E4" t="s">
        <v>12</v>
      </c>
      <c r="F4">
        <v>4</v>
      </c>
      <c r="G4">
        <v>8000</v>
      </c>
      <c r="H4">
        <v>32000</v>
      </c>
    </row>
    <row r="5" spans="1:8" x14ac:dyDescent="0.3">
      <c r="A5">
        <v>2</v>
      </c>
      <c r="B5" s="4">
        <v>45917</v>
      </c>
      <c r="C5" t="s">
        <v>10</v>
      </c>
      <c r="D5" t="s">
        <v>11</v>
      </c>
      <c r="E5" t="s">
        <v>12</v>
      </c>
      <c r="F5">
        <v>4</v>
      </c>
      <c r="G5">
        <v>50</v>
      </c>
      <c r="H5">
        <v>200</v>
      </c>
    </row>
    <row r="6" spans="1:8" x14ac:dyDescent="0.3">
      <c r="A6">
        <v>489</v>
      </c>
      <c r="B6" s="4">
        <v>46404</v>
      </c>
      <c r="C6" t="s">
        <v>13</v>
      </c>
      <c r="D6" t="s">
        <v>9</v>
      </c>
      <c r="E6" t="s">
        <v>12</v>
      </c>
      <c r="F6">
        <v>4</v>
      </c>
      <c r="G6">
        <v>600</v>
      </c>
      <c r="H6">
        <v>2400</v>
      </c>
    </row>
    <row r="7" spans="1:8" x14ac:dyDescent="0.3">
      <c r="A7">
        <v>482</v>
      </c>
      <c r="B7" s="4">
        <v>46397</v>
      </c>
      <c r="C7" t="s">
        <v>21</v>
      </c>
      <c r="D7" t="s">
        <v>11</v>
      </c>
      <c r="E7" t="s">
        <v>12</v>
      </c>
      <c r="F7">
        <v>4</v>
      </c>
      <c r="G7">
        <v>230</v>
      </c>
      <c r="H7">
        <v>920</v>
      </c>
    </row>
    <row r="8" spans="1:8" x14ac:dyDescent="0.3">
      <c r="A8">
        <v>481</v>
      </c>
      <c r="B8" s="4">
        <v>46396</v>
      </c>
      <c r="C8" t="s">
        <v>21</v>
      </c>
      <c r="D8" t="s">
        <v>15</v>
      </c>
      <c r="E8" t="s">
        <v>12</v>
      </c>
      <c r="F8">
        <v>7</v>
      </c>
      <c r="G8">
        <v>100</v>
      </c>
      <c r="H8">
        <v>700</v>
      </c>
    </row>
    <row r="9" spans="1:8" x14ac:dyDescent="0.3">
      <c r="A9">
        <v>464</v>
      </c>
      <c r="B9" s="4">
        <v>46379</v>
      </c>
      <c r="C9" t="s">
        <v>8</v>
      </c>
      <c r="D9" t="s">
        <v>22</v>
      </c>
      <c r="E9" t="s">
        <v>12</v>
      </c>
      <c r="F9">
        <v>2</v>
      </c>
      <c r="G9">
        <v>50</v>
      </c>
      <c r="H9">
        <v>100</v>
      </c>
    </row>
    <row r="10" spans="1:8" x14ac:dyDescent="0.3">
      <c r="A10">
        <v>7</v>
      </c>
      <c r="B10" s="4">
        <v>45922</v>
      </c>
      <c r="C10" t="s">
        <v>17</v>
      </c>
      <c r="D10" t="s">
        <v>11</v>
      </c>
      <c r="E10" t="s">
        <v>12</v>
      </c>
      <c r="F10">
        <v>2</v>
      </c>
      <c r="G10">
        <v>50</v>
      </c>
      <c r="H10">
        <v>100</v>
      </c>
    </row>
    <row r="11" spans="1:8" x14ac:dyDescent="0.3">
      <c r="A11">
        <v>462</v>
      </c>
      <c r="B11" s="4">
        <v>46377</v>
      </c>
      <c r="C11" t="s">
        <v>17</v>
      </c>
      <c r="D11" t="s">
        <v>11</v>
      </c>
      <c r="E11" t="s">
        <v>12</v>
      </c>
      <c r="F11">
        <v>8</v>
      </c>
      <c r="G11">
        <v>50</v>
      </c>
      <c r="H11">
        <v>400</v>
      </c>
    </row>
    <row r="12" spans="1:8" x14ac:dyDescent="0.3">
      <c r="A12">
        <v>9</v>
      </c>
      <c r="B12" s="4">
        <v>45924</v>
      </c>
      <c r="C12" t="s">
        <v>18</v>
      </c>
      <c r="D12" t="s">
        <v>11</v>
      </c>
      <c r="E12" t="s">
        <v>12</v>
      </c>
      <c r="F12">
        <v>3</v>
      </c>
      <c r="G12">
        <v>100</v>
      </c>
      <c r="H12">
        <v>300</v>
      </c>
    </row>
    <row r="13" spans="1:8" x14ac:dyDescent="0.3">
      <c r="A13">
        <v>454</v>
      </c>
      <c r="B13" s="4">
        <v>46369</v>
      </c>
      <c r="C13" t="s">
        <v>18</v>
      </c>
      <c r="D13" t="s">
        <v>22</v>
      </c>
      <c r="E13" t="s">
        <v>12</v>
      </c>
      <c r="F13">
        <v>5</v>
      </c>
      <c r="G13">
        <v>500</v>
      </c>
      <c r="H13">
        <v>2500</v>
      </c>
    </row>
    <row r="14" spans="1:8" x14ac:dyDescent="0.3">
      <c r="A14">
        <v>11</v>
      </c>
      <c r="B14" s="4">
        <v>45926</v>
      </c>
      <c r="C14" t="s">
        <v>19</v>
      </c>
      <c r="D14" t="s">
        <v>15</v>
      </c>
      <c r="E14" t="s">
        <v>12</v>
      </c>
      <c r="F14">
        <v>10</v>
      </c>
      <c r="G14">
        <v>500</v>
      </c>
      <c r="H14">
        <v>5000</v>
      </c>
    </row>
    <row r="15" spans="1:8" x14ac:dyDescent="0.3">
      <c r="A15">
        <v>453</v>
      </c>
      <c r="B15" s="4">
        <v>46368</v>
      </c>
      <c r="C15" t="s">
        <v>16</v>
      </c>
      <c r="D15" t="s">
        <v>22</v>
      </c>
      <c r="E15" t="s">
        <v>12</v>
      </c>
      <c r="F15">
        <v>5</v>
      </c>
      <c r="G15">
        <v>600</v>
      </c>
      <c r="H15">
        <v>3000</v>
      </c>
    </row>
    <row r="16" spans="1:8" x14ac:dyDescent="0.3">
      <c r="A16">
        <v>449</v>
      </c>
      <c r="B16" s="4">
        <v>46364</v>
      </c>
      <c r="C16" t="s">
        <v>21</v>
      </c>
      <c r="D16" t="s">
        <v>9</v>
      </c>
      <c r="E16" t="s">
        <v>12</v>
      </c>
      <c r="F16">
        <v>4</v>
      </c>
      <c r="G16">
        <v>120</v>
      </c>
      <c r="H16">
        <v>480</v>
      </c>
    </row>
    <row r="17" spans="1:8" x14ac:dyDescent="0.3">
      <c r="A17">
        <v>14</v>
      </c>
      <c r="B17" s="4">
        <v>45929</v>
      </c>
      <c r="C17" t="s">
        <v>21</v>
      </c>
      <c r="D17" t="s">
        <v>11</v>
      </c>
      <c r="E17" t="s">
        <v>12</v>
      </c>
      <c r="F17">
        <v>7</v>
      </c>
      <c r="G17">
        <v>100</v>
      </c>
      <c r="H17">
        <v>700</v>
      </c>
    </row>
    <row r="18" spans="1:8" x14ac:dyDescent="0.3">
      <c r="A18">
        <v>447</v>
      </c>
      <c r="B18" s="4">
        <v>46362</v>
      </c>
      <c r="C18" t="s">
        <v>8</v>
      </c>
      <c r="D18" t="s">
        <v>9</v>
      </c>
      <c r="E18" t="s">
        <v>12</v>
      </c>
      <c r="F18">
        <v>10</v>
      </c>
      <c r="G18">
        <v>120</v>
      </c>
      <c r="H18">
        <v>1200</v>
      </c>
    </row>
    <row r="19" spans="1:8" x14ac:dyDescent="0.3">
      <c r="A19">
        <v>436</v>
      </c>
      <c r="B19" s="4">
        <v>46351</v>
      </c>
      <c r="C19" t="s">
        <v>13</v>
      </c>
      <c r="D19" t="s">
        <v>11</v>
      </c>
      <c r="E19" t="s">
        <v>12</v>
      </c>
      <c r="F19">
        <v>2</v>
      </c>
      <c r="G19">
        <v>230</v>
      </c>
      <c r="H19">
        <v>460</v>
      </c>
    </row>
    <row r="20" spans="1:8" x14ac:dyDescent="0.3">
      <c r="A20">
        <v>431</v>
      </c>
      <c r="B20" s="4">
        <v>46346</v>
      </c>
      <c r="C20" t="s">
        <v>17</v>
      </c>
      <c r="D20" t="s">
        <v>11</v>
      </c>
      <c r="E20" t="s">
        <v>12</v>
      </c>
      <c r="F20">
        <v>8</v>
      </c>
      <c r="G20">
        <v>500</v>
      </c>
      <c r="H20">
        <v>4000</v>
      </c>
    </row>
    <row r="21" spans="1:8" x14ac:dyDescent="0.3">
      <c r="A21">
        <v>427</v>
      </c>
      <c r="B21" s="4">
        <v>46342</v>
      </c>
      <c r="C21" t="s">
        <v>20</v>
      </c>
      <c r="D21" t="s">
        <v>15</v>
      </c>
      <c r="E21" t="s">
        <v>12</v>
      </c>
      <c r="F21">
        <v>8</v>
      </c>
      <c r="G21">
        <v>600</v>
      </c>
      <c r="H21">
        <v>4800</v>
      </c>
    </row>
    <row r="22" spans="1:8" x14ac:dyDescent="0.3">
      <c r="A22">
        <v>423</v>
      </c>
      <c r="B22" s="4">
        <v>46338</v>
      </c>
      <c r="C22" t="s">
        <v>16</v>
      </c>
      <c r="D22" t="s">
        <v>11</v>
      </c>
      <c r="E22" t="s">
        <v>12</v>
      </c>
      <c r="F22">
        <v>3</v>
      </c>
      <c r="G22">
        <v>500</v>
      </c>
      <c r="H22">
        <v>1500</v>
      </c>
    </row>
    <row r="23" spans="1:8" x14ac:dyDescent="0.3">
      <c r="A23">
        <v>412</v>
      </c>
      <c r="B23" s="4">
        <v>46327</v>
      </c>
      <c r="C23" t="s">
        <v>16</v>
      </c>
      <c r="D23" t="s">
        <v>15</v>
      </c>
      <c r="E23" t="s">
        <v>12</v>
      </c>
      <c r="F23">
        <v>4</v>
      </c>
      <c r="G23">
        <v>8000</v>
      </c>
      <c r="H23">
        <v>32000</v>
      </c>
    </row>
    <row r="24" spans="1:8" x14ac:dyDescent="0.3">
      <c r="A24">
        <v>408</v>
      </c>
      <c r="B24" s="4">
        <v>46323</v>
      </c>
      <c r="C24" t="s">
        <v>13</v>
      </c>
      <c r="D24" t="s">
        <v>9</v>
      </c>
      <c r="E24" t="s">
        <v>12</v>
      </c>
      <c r="F24">
        <v>7</v>
      </c>
      <c r="G24">
        <v>230</v>
      </c>
      <c r="H24">
        <v>1610</v>
      </c>
    </row>
    <row r="25" spans="1:8" x14ac:dyDescent="0.3">
      <c r="A25">
        <v>406</v>
      </c>
      <c r="B25" s="4">
        <v>46321</v>
      </c>
      <c r="C25" t="s">
        <v>10</v>
      </c>
      <c r="D25" t="s">
        <v>15</v>
      </c>
      <c r="E25" t="s">
        <v>12</v>
      </c>
      <c r="F25">
        <v>8</v>
      </c>
      <c r="G25">
        <v>230</v>
      </c>
      <c r="H25">
        <v>1840</v>
      </c>
    </row>
    <row r="26" spans="1:8" x14ac:dyDescent="0.3">
      <c r="A26">
        <v>395</v>
      </c>
      <c r="B26" s="4">
        <v>46310</v>
      </c>
      <c r="C26" t="s">
        <v>19</v>
      </c>
      <c r="D26" t="s">
        <v>9</v>
      </c>
      <c r="E26" t="s">
        <v>12</v>
      </c>
      <c r="F26">
        <v>10</v>
      </c>
      <c r="G26">
        <v>230</v>
      </c>
      <c r="H26">
        <v>2300</v>
      </c>
    </row>
    <row r="27" spans="1:8" x14ac:dyDescent="0.3">
      <c r="A27">
        <v>386</v>
      </c>
      <c r="B27" s="4">
        <v>46301</v>
      </c>
      <c r="C27" t="s">
        <v>10</v>
      </c>
      <c r="D27" t="s">
        <v>9</v>
      </c>
      <c r="E27" t="s">
        <v>12</v>
      </c>
      <c r="F27">
        <v>2</v>
      </c>
      <c r="G27">
        <v>100</v>
      </c>
      <c r="H27">
        <v>200</v>
      </c>
    </row>
    <row r="28" spans="1:8" x14ac:dyDescent="0.3">
      <c r="A28">
        <v>376</v>
      </c>
      <c r="B28" s="4">
        <v>46291</v>
      </c>
      <c r="C28" t="s">
        <v>17</v>
      </c>
      <c r="D28" t="s">
        <v>11</v>
      </c>
      <c r="E28" t="s">
        <v>12</v>
      </c>
      <c r="F28">
        <v>1</v>
      </c>
      <c r="G28">
        <v>8000</v>
      </c>
      <c r="H28">
        <v>8000</v>
      </c>
    </row>
    <row r="29" spans="1:8" x14ac:dyDescent="0.3">
      <c r="A29">
        <v>369</v>
      </c>
      <c r="B29" s="4">
        <v>46284</v>
      </c>
      <c r="C29" t="s">
        <v>19</v>
      </c>
      <c r="D29" t="s">
        <v>22</v>
      </c>
      <c r="E29" t="s">
        <v>12</v>
      </c>
      <c r="F29">
        <v>5</v>
      </c>
      <c r="G29">
        <v>600</v>
      </c>
      <c r="H29">
        <v>3000</v>
      </c>
    </row>
    <row r="30" spans="1:8" x14ac:dyDescent="0.3">
      <c r="A30">
        <v>27</v>
      </c>
      <c r="B30" s="4">
        <v>45942</v>
      </c>
      <c r="C30" t="s">
        <v>17</v>
      </c>
      <c r="D30" t="s">
        <v>11</v>
      </c>
      <c r="E30" t="s">
        <v>12</v>
      </c>
      <c r="F30">
        <v>2</v>
      </c>
      <c r="G30">
        <v>120</v>
      </c>
      <c r="H30">
        <v>240</v>
      </c>
    </row>
    <row r="31" spans="1:8" x14ac:dyDescent="0.3">
      <c r="A31">
        <v>28</v>
      </c>
      <c r="B31" s="4">
        <v>45943</v>
      </c>
      <c r="C31" t="s">
        <v>20</v>
      </c>
      <c r="D31" t="s">
        <v>11</v>
      </c>
      <c r="E31" t="s">
        <v>12</v>
      </c>
      <c r="F31">
        <v>1</v>
      </c>
      <c r="G31">
        <v>50</v>
      </c>
      <c r="H31">
        <v>50</v>
      </c>
    </row>
    <row r="32" spans="1:8" x14ac:dyDescent="0.3">
      <c r="A32">
        <v>350</v>
      </c>
      <c r="B32" s="4">
        <v>46265</v>
      </c>
      <c r="C32" t="s">
        <v>14</v>
      </c>
      <c r="D32" t="s">
        <v>9</v>
      </c>
      <c r="E32" t="s">
        <v>12</v>
      </c>
      <c r="F32">
        <v>10</v>
      </c>
      <c r="G32">
        <v>230</v>
      </c>
      <c r="H32">
        <v>2300</v>
      </c>
    </row>
    <row r="33" spans="1:8" x14ac:dyDescent="0.3">
      <c r="A33">
        <v>340</v>
      </c>
      <c r="B33" s="4">
        <v>46255</v>
      </c>
      <c r="C33" t="s">
        <v>18</v>
      </c>
      <c r="D33" t="s">
        <v>11</v>
      </c>
      <c r="E33" t="s">
        <v>12</v>
      </c>
      <c r="F33">
        <v>1</v>
      </c>
      <c r="G33">
        <v>600</v>
      </c>
      <c r="H33">
        <v>600</v>
      </c>
    </row>
    <row r="34" spans="1:8" x14ac:dyDescent="0.3">
      <c r="A34">
        <v>325</v>
      </c>
      <c r="B34" s="4">
        <v>46240</v>
      </c>
      <c r="C34" t="s">
        <v>17</v>
      </c>
      <c r="D34" t="s">
        <v>9</v>
      </c>
      <c r="E34" t="s">
        <v>12</v>
      </c>
      <c r="F34">
        <v>8</v>
      </c>
      <c r="G34">
        <v>8000</v>
      </c>
      <c r="H34">
        <v>64000</v>
      </c>
    </row>
    <row r="35" spans="1:8" x14ac:dyDescent="0.3">
      <c r="A35">
        <v>322</v>
      </c>
      <c r="B35" s="4">
        <v>46237</v>
      </c>
      <c r="C35" t="s">
        <v>19</v>
      </c>
      <c r="D35" t="s">
        <v>22</v>
      </c>
      <c r="E35" t="s">
        <v>12</v>
      </c>
      <c r="F35">
        <v>8</v>
      </c>
      <c r="G35">
        <v>230</v>
      </c>
      <c r="H35">
        <v>1840</v>
      </c>
    </row>
    <row r="36" spans="1:8" x14ac:dyDescent="0.3">
      <c r="A36">
        <v>307</v>
      </c>
      <c r="B36" s="4">
        <v>46222</v>
      </c>
      <c r="C36" t="s">
        <v>18</v>
      </c>
      <c r="D36" t="s">
        <v>15</v>
      </c>
      <c r="E36" t="s">
        <v>12</v>
      </c>
      <c r="F36">
        <v>10</v>
      </c>
      <c r="G36">
        <v>120</v>
      </c>
      <c r="H36">
        <v>1200</v>
      </c>
    </row>
    <row r="37" spans="1:8" x14ac:dyDescent="0.3">
      <c r="A37">
        <v>300</v>
      </c>
      <c r="B37" s="4">
        <v>46215</v>
      </c>
      <c r="C37" t="s">
        <v>19</v>
      </c>
      <c r="D37" t="s">
        <v>22</v>
      </c>
      <c r="E37" t="s">
        <v>12</v>
      </c>
      <c r="F37">
        <v>4</v>
      </c>
      <c r="G37">
        <v>230</v>
      </c>
      <c r="H37">
        <v>920</v>
      </c>
    </row>
    <row r="38" spans="1:8" x14ac:dyDescent="0.3">
      <c r="A38">
        <v>299</v>
      </c>
      <c r="B38" s="4">
        <v>46214</v>
      </c>
      <c r="C38" t="s">
        <v>10</v>
      </c>
      <c r="D38" t="s">
        <v>15</v>
      </c>
      <c r="E38" t="s">
        <v>12</v>
      </c>
      <c r="F38">
        <v>4</v>
      </c>
      <c r="G38">
        <v>600</v>
      </c>
      <c r="H38">
        <v>2400</v>
      </c>
    </row>
    <row r="39" spans="1:8" x14ac:dyDescent="0.3">
      <c r="A39">
        <v>289</v>
      </c>
      <c r="B39" s="4">
        <v>46204</v>
      </c>
      <c r="C39" t="s">
        <v>19</v>
      </c>
      <c r="D39" t="s">
        <v>9</v>
      </c>
      <c r="E39" t="s">
        <v>12</v>
      </c>
      <c r="F39">
        <v>6</v>
      </c>
      <c r="G39">
        <v>50</v>
      </c>
      <c r="H39">
        <v>300</v>
      </c>
    </row>
    <row r="40" spans="1:8" x14ac:dyDescent="0.3">
      <c r="A40">
        <v>280</v>
      </c>
      <c r="B40" s="4">
        <v>46195</v>
      </c>
      <c r="C40" t="s">
        <v>10</v>
      </c>
      <c r="D40" t="s">
        <v>22</v>
      </c>
      <c r="E40" t="s">
        <v>12</v>
      </c>
      <c r="F40">
        <v>9</v>
      </c>
      <c r="G40">
        <v>500</v>
      </c>
      <c r="H40">
        <v>4500</v>
      </c>
    </row>
    <row r="41" spans="1:8" x14ac:dyDescent="0.3">
      <c r="A41">
        <v>271</v>
      </c>
      <c r="B41" s="4">
        <v>46186</v>
      </c>
      <c r="C41" t="s">
        <v>17</v>
      </c>
      <c r="D41" t="s">
        <v>9</v>
      </c>
      <c r="E41" t="s">
        <v>12</v>
      </c>
      <c r="F41">
        <v>4</v>
      </c>
      <c r="G41">
        <v>120</v>
      </c>
      <c r="H41">
        <v>480</v>
      </c>
    </row>
    <row r="42" spans="1:8" x14ac:dyDescent="0.3">
      <c r="A42">
        <v>265</v>
      </c>
      <c r="B42" s="4">
        <v>46180</v>
      </c>
      <c r="C42" t="s">
        <v>10</v>
      </c>
      <c r="D42" t="s">
        <v>22</v>
      </c>
      <c r="E42" t="s">
        <v>12</v>
      </c>
      <c r="F42">
        <v>2</v>
      </c>
      <c r="G42">
        <v>230</v>
      </c>
      <c r="H42">
        <v>460</v>
      </c>
    </row>
    <row r="43" spans="1:8" x14ac:dyDescent="0.3">
      <c r="A43">
        <v>252</v>
      </c>
      <c r="B43" s="4">
        <v>46167</v>
      </c>
      <c r="C43" t="s">
        <v>19</v>
      </c>
      <c r="D43" t="s">
        <v>22</v>
      </c>
      <c r="E43" t="s">
        <v>12</v>
      </c>
      <c r="F43">
        <v>8</v>
      </c>
      <c r="G43">
        <v>100</v>
      </c>
      <c r="H43">
        <v>800</v>
      </c>
    </row>
    <row r="44" spans="1:8" x14ac:dyDescent="0.3">
      <c r="A44">
        <v>251</v>
      </c>
      <c r="B44" s="4">
        <v>46166</v>
      </c>
      <c r="C44" t="s">
        <v>20</v>
      </c>
      <c r="D44" t="s">
        <v>11</v>
      </c>
      <c r="E44" t="s">
        <v>12</v>
      </c>
      <c r="F44">
        <v>3</v>
      </c>
      <c r="G44">
        <v>8000</v>
      </c>
      <c r="H44">
        <v>24000</v>
      </c>
    </row>
    <row r="45" spans="1:8" x14ac:dyDescent="0.3">
      <c r="A45">
        <v>42</v>
      </c>
      <c r="B45" s="4">
        <v>45957</v>
      </c>
      <c r="C45" t="s">
        <v>19</v>
      </c>
      <c r="D45" t="s">
        <v>22</v>
      </c>
      <c r="E45" t="s">
        <v>12</v>
      </c>
      <c r="F45">
        <v>7</v>
      </c>
      <c r="G45">
        <v>8000</v>
      </c>
      <c r="H45">
        <v>56000</v>
      </c>
    </row>
    <row r="46" spans="1:8" x14ac:dyDescent="0.3">
      <c r="A46">
        <v>250</v>
      </c>
      <c r="B46" s="4">
        <v>46165</v>
      </c>
      <c r="C46" t="s">
        <v>14</v>
      </c>
      <c r="D46" t="s">
        <v>22</v>
      </c>
      <c r="E46" t="s">
        <v>12</v>
      </c>
      <c r="F46">
        <v>8</v>
      </c>
      <c r="G46">
        <v>50</v>
      </c>
      <c r="H46">
        <v>400</v>
      </c>
    </row>
    <row r="47" spans="1:8" x14ac:dyDescent="0.3">
      <c r="A47">
        <v>245</v>
      </c>
      <c r="B47" s="4">
        <v>46160</v>
      </c>
      <c r="C47" t="s">
        <v>21</v>
      </c>
      <c r="D47" t="s">
        <v>15</v>
      </c>
      <c r="E47" t="s">
        <v>12</v>
      </c>
      <c r="F47">
        <v>10</v>
      </c>
      <c r="G47">
        <v>50</v>
      </c>
      <c r="H47">
        <v>500</v>
      </c>
    </row>
    <row r="48" spans="1:8" x14ac:dyDescent="0.3">
      <c r="A48">
        <v>243</v>
      </c>
      <c r="B48" s="4">
        <v>46158</v>
      </c>
      <c r="C48" t="s">
        <v>20</v>
      </c>
      <c r="D48" t="s">
        <v>22</v>
      </c>
      <c r="E48" t="s">
        <v>12</v>
      </c>
      <c r="F48">
        <v>1</v>
      </c>
      <c r="G48">
        <v>600</v>
      </c>
      <c r="H48">
        <v>600</v>
      </c>
    </row>
    <row r="49" spans="1:8" x14ac:dyDescent="0.3">
      <c r="A49">
        <v>241</v>
      </c>
      <c r="B49" s="4">
        <v>46156</v>
      </c>
      <c r="C49" t="s">
        <v>8</v>
      </c>
      <c r="D49" t="s">
        <v>11</v>
      </c>
      <c r="E49" t="s">
        <v>12</v>
      </c>
      <c r="F49">
        <v>4</v>
      </c>
      <c r="G49">
        <v>230</v>
      </c>
      <c r="H49">
        <v>920</v>
      </c>
    </row>
    <row r="50" spans="1:8" x14ac:dyDescent="0.3">
      <c r="A50">
        <v>238</v>
      </c>
      <c r="B50" s="4">
        <v>46153</v>
      </c>
      <c r="C50" t="s">
        <v>21</v>
      </c>
      <c r="D50" t="s">
        <v>22</v>
      </c>
      <c r="E50" t="s">
        <v>12</v>
      </c>
      <c r="F50">
        <v>2</v>
      </c>
      <c r="G50">
        <v>230</v>
      </c>
      <c r="H50">
        <v>460</v>
      </c>
    </row>
    <row r="51" spans="1:8" x14ac:dyDescent="0.3">
      <c r="A51">
        <v>48</v>
      </c>
      <c r="B51" s="4">
        <v>45963</v>
      </c>
      <c r="C51" t="s">
        <v>20</v>
      </c>
      <c r="D51" t="s">
        <v>15</v>
      </c>
      <c r="E51" t="s">
        <v>12</v>
      </c>
      <c r="F51">
        <v>8</v>
      </c>
      <c r="G51">
        <v>230</v>
      </c>
      <c r="H51">
        <v>1840</v>
      </c>
    </row>
    <row r="52" spans="1:8" x14ac:dyDescent="0.3">
      <c r="A52">
        <v>234</v>
      </c>
      <c r="B52" s="4">
        <v>46149</v>
      </c>
      <c r="C52" t="s">
        <v>13</v>
      </c>
      <c r="D52" t="s">
        <v>22</v>
      </c>
      <c r="E52" t="s">
        <v>12</v>
      </c>
      <c r="F52">
        <v>8</v>
      </c>
      <c r="G52">
        <v>230</v>
      </c>
      <c r="H52">
        <v>1840</v>
      </c>
    </row>
    <row r="53" spans="1:8" x14ac:dyDescent="0.3">
      <c r="A53">
        <v>230</v>
      </c>
      <c r="B53" s="4">
        <v>46145</v>
      </c>
      <c r="C53" t="s">
        <v>13</v>
      </c>
      <c r="D53" t="s">
        <v>11</v>
      </c>
      <c r="E53" t="s">
        <v>12</v>
      </c>
      <c r="F53">
        <v>2</v>
      </c>
      <c r="G53">
        <v>8000</v>
      </c>
      <c r="H53">
        <v>16000</v>
      </c>
    </row>
    <row r="54" spans="1:8" x14ac:dyDescent="0.3">
      <c r="A54">
        <v>51</v>
      </c>
      <c r="B54" s="4">
        <v>45966</v>
      </c>
      <c r="C54" t="s">
        <v>20</v>
      </c>
      <c r="D54" t="s">
        <v>15</v>
      </c>
      <c r="E54" t="s">
        <v>12</v>
      </c>
      <c r="F54">
        <v>8</v>
      </c>
      <c r="G54">
        <v>600</v>
      </c>
      <c r="H54">
        <v>4800</v>
      </c>
    </row>
    <row r="55" spans="1:8" x14ac:dyDescent="0.3">
      <c r="A55">
        <v>221</v>
      </c>
      <c r="B55" s="4">
        <v>46136</v>
      </c>
      <c r="C55" t="s">
        <v>17</v>
      </c>
      <c r="D55" t="s">
        <v>15</v>
      </c>
      <c r="E55" t="s">
        <v>12</v>
      </c>
      <c r="F55">
        <v>2</v>
      </c>
      <c r="G55">
        <v>600</v>
      </c>
      <c r="H55">
        <v>1200</v>
      </c>
    </row>
    <row r="56" spans="1:8" x14ac:dyDescent="0.3">
      <c r="A56">
        <v>217</v>
      </c>
      <c r="B56" s="4">
        <v>46132</v>
      </c>
      <c r="C56" t="s">
        <v>13</v>
      </c>
      <c r="D56" t="s">
        <v>11</v>
      </c>
      <c r="E56" t="s">
        <v>12</v>
      </c>
      <c r="F56">
        <v>3</v>
      </c>
      <c r="G56">
        <v>50</v>
      </c>
      <c r="H56">
        <v>150</v>
      </c>
    </row>
    <row r="57" spans="1:8" x14ac:dyDescent="0.3">
      <c r="A57">
        <v>201</v>
      </c>
      <c r="B57" s="4">
        <v>46116</v>
      </c>
      <c r="C57" t="s">
        <v>13</v>
      </c>
      <c r="D57" t="s">
        <v>11</v>
      </c>
      <c r="E57" t="s">
        <v>12</v>
      </c>
      <c r="F57">
        <v>3</v>
      </c>
      <c r="G57">
        <v>100</v>
      </c>
      <c r="H57">
        <v>300</v>
      </c>
    </row>
    <row r="58" spans="1:8" x14ac:dyDescent="0.3">
      <c r="A58">
        <v>200</v>
      </c>
      <c r="B58" s="4">
        <v>46115</v>
      </c>
      <c r="C58" t="s">
        <v>10</v>
      </c>
      <c r="D58" t="s">
        <v>11</v>
      </c>
      <c r="E58" t="s">
        <v>12</v>
      </c>
      <c r="F58">
        <v>3</v>
      </c>
      <c r="G58">
        <v>600</v>
      </c>
      <c r="H58">
        <v>1800</v>
      </c>
    </row>
    <row r="59" spans="1:8" x14ac:dyDescent="0.3">
      <c r="A59">
        <v>191</v>
      </c>
      <c r="B59" s="4">
        <v>46106</v>
      </c>
      <c r="C59" t="s">
        <v>14</v>
      </c>
      <c r="D59" t="s">
        <v>15</v>
      </c>
      <c r="E59" t="s">
        <v>12</v>
      </c>
      <c r="F59">
        <v>5</v>
      </c>
      <c r="G59">
        <v>50</v>
      </c>
      <c r="H59">
        <v>250</v>
      </c>
    </row>
    <row r="60" spans="1:8" x14ac:dyDescent="0.3">
      <c r="A60">
        <v>184</v>
      </c>
      <c r="B60" s="4">
        <v>46099</v>
      </c>
      <c r="C60" t="s">
        <v>17</v>
      </c>
      <c r="D60" t="s">
        <v>11</v>
      </c>
      <c r="E60" t="s">
        <v>12</v>
      </c>
      <c r="F60">
        <v>2</v>
      </c>
      <c r="G60">
        <v>50</v>
      </c>
      <c r="H60">
        <v>100</v>
      </c>
    </row>
    <row r="61" spans="1:8" x14ac:dyDescent="0.3">
      <c r="A61">
        <v>178</v>
      </c>
      <c r="B61" s="4">
        <v>46093</v>
      </c>
      <c r="C61" t="s">
        <v>16</v>
      </c>
      <c r="D61" t="s">
        <v>15</v>
      </c>
      <c r="E61" t="s">
        <v>12</v>
      </c>
      <c r="F61">
        <v>5</v>
      </c>
      <c r="G61">
        <v>50</v>
      </c>
      <c r="H61">
        <v>250</v>
      </c>
    </row>
    <row r="62" spans="1:8" x14ac:dyDescent="0.3">
      <c r="A62">
        <v>172</v>
      </c>
      <c r="B62" s="4">
        <v>46087</v>
      </c>
      <c r="C62" t="s">
        <v>20</v>
      </c>
      <c r="D62" t="s">
        <v>11</v>
      </c>
      <c r="E62" t="s">
        <v>12</v>
      </c>
      <c r="F62">
        <v>1</v>
      </c>
      <c r="G62">
        <v>500</v>
      </c>
      <c r="H62">
        <v>500</v>
      </c>
    </row>
    <row r="63" spans="1:8" x14ac:dyDescent="0.3">
      <c r="A63">
        <v>166</v>
      </c>
      <c r="B63" s="4">
        <v>46081</v>
      </c>
      <c r="C63" t="s">
        <v>18</v>
      </c>
      <c r="D63" t="s">
        <v>9</v>
      </c>
      <c r="E63" t="s">
        <v>12</v>
      </c>
      <c r="F63">
        <v>7</v>
      </c>
      <c r="G63">
        <v>50</v>
      </c>
      <c r="H63">
        <v>350</v>
      </c>
    </row>
    <row r="64" spans="1:8" x14ac:dyDescent="0.3">
      <c r="A64">
        <v>61</v>
      </c>
      <c r="B64" s="4">
        <v>45976</v>
      </c>
      <c r="C64" t="s">
        <v>8</v>
      </c>
      <c r="D64" t="s">
        <v>15</v>
      </c>
      <c r="E64" t="s">
        <v>12</v>
      </c>
      <c r="F64">
        <v>6</v>
      </c>
      <c r="G64">
        <v>8000</v>
      </c>
      <c r="H64">
        <v>48000</v>
      </c>
    </row>
    <row r="65" spans="1:8" x14ac:dyDescent="0.3">
      <c r="A65">
        <v>160</v>
      </c>
      <c r="B65" s="4">
        <v>46075</v>
      </c>
      <c r="C65" t="s">
        <v>13</v>
      </c>
      <c r="D65" t="s">
        <v>22</v>
      </c>
      <c r="E65" t="s">
        <v>12</v>
      </c>
      <c r="F65">
        <v>8</v>
      </c>
      <c r="G65">
        <v>600</v>
      </c>
      <c r="H65">
        <v>4800</v>
      </c>
    </row>
    <row r="66" spans="1:8" x14ac:dyDescent="0.3">
      <c r="A66">
        <v>63</v>
      </c>
      <c r="B66" s="4">
        <v>45978</v>
      </c>
      <c r="C66" t="s">
        <v>21</v>
      </c>
      <c r="D66" t="s">
        <v>22</v>
      </c>
      <c r="E66" t="s">
        <v>12</v>
      </c>
      <c r="F66">
        <v>4</v>
      </c>
      <c r="G66">
        <v>600</v>
      </c>
      <c r="H66">
        <v>2400</v>
      </c>
    </row>
    <row r="67" spans="1:8" x14ac:dyDescent="0.3">
      <c r="A67">
        <v>157</v>
      </c>
      <c r="B67" s="4">
        <v>46072</v>
      </c>
      <c r="C67" t="s">
        <v>21</v>
      </c>
      <c r="D67" t="s">
        <v>11</v>
      </c>
      <c r="E67" t="s">
        <v>12</v>
      </c>
      <c r="F67">
        <v>1</v>
      </c>
      <c r="G67">
        <v>100</v>
      </c>
      <c r="H67">
        <v>100</v>
      </c>
    </row>
    <row r="68" spans="1:8" x14ac:dyDescent="0.3">
      <c r="A68">
        <v>155</v>
      </c>
      <c r="B68" s="4">
        <v>46070</v>
      </c>
      <c r="C68" t="s">
        <v>10</v>
      </c>
      <c r="D68" t="s">
        <v>11</v>
      </c>
      <c r="E68" t="s">
        <v>12</v>
      </c>
      <c r="F68">
        <v>9</v>
      </c>
      <c r="G68">
        <v>600</v>
      </c>
      <c r="H68">
        <v>5400</v>
      </c>
    </row>
    <row r="69" spans="1:8" x14ac:dyDescent="0.3">
      <c r="A69">
        <v>66</v>
      </c>
      <c r="B69" s="4">
        <v>45981</v>
      </c>
      <c r="C69" t="s">
        <v>21</v>
      </c>
      <c r="D69" t="s">
        <v>22</v>
      </c>
      <c r="E69" t="s">
        <v>12</v>
      </c>
      <c r="F69">
        <v>3</v>
      </c>
      <c r="G69">
        <v>50</v>
      </c>
      <c r="H69">
        <v>150</v>
      </c>
    </row>
    <row r="70" spans="1:8" x14ac:dyDescent="0.3">
      <c r="A70">
        <v>154</v>
      </c>
      <c r="B70" s="4">
        <v>46069</v>
      </c>
      <c r="C70" t="s">
        <v>20</v>
      </c>
      <c r="D70" t="s">
        <v>11</v>
      </c>
      <c r="E70" t="s">
        <v>12</v>
      </c>
      <c r="F70">
        <v>10</v>
      </c>
      <c r="G70">
        <v>100</v>
      </c>
      <c r="H70">
        <v>1000</v>
      </c>
    </row>
    <row r="71" spans="1:8" x14ac:dyDescent="0.3">
      <c r="A71">
        <v>68</v>
      </c>
      <c r="B71" s="4">
        <v>45983</v>
      </c>
      <c r="C71" t="s">
        <v>19</v>
      </c>
      <c r="D71" t="s">
        <v>9</v>
      </c>
      <c r="E71" t="s">
        <v>12</v>
      </c>
      <c r="F71">
        <v>3</v>
      </c>
      <c r="G71">
        <v>500</v>
      </c>
      <c r="H71">
        <v>1500</v>
      </c>
    </row>
    <row r="72" spans="1:8" x14ac:dyDescent="0.3">
      <c r="A72">
        <v>135</v>
      </c>
      <c r="B72" s="4">
        <v>46050</v>
      </c>
      <c r="C72" t="s">
        <v>17</v>
      </c>
      <c r="D72" t="s">
        <v>22</v>
      </c>
      <c r="E72" t="s">
        <v>12</v>
      </c>
      <c r="F72">
        <v>2</v>
      </c>
      <c r="G72">
        <v>600</v>
      </c>
      <c r="H72">
        <v>1200</v>
      </c>
    </row>
    <row r="73" spans="1:8" x14ac:dyDescent="0.3">
      <c r="A73">
        <v>131</v>
      </c>
      <c r="B73" s="4">
        <v>46046</v>
      </c>
      <c r="C73" t="s">
        <v>17</v>
      </c>
      <c r="D73" t="s">
        <v>22</v>
      </c>
      <c r="E73" t="s">
        <v>12</v>
      </c>
      <c r="F73">
        <v>7</v>
      </c>
      <c r="G73">
        <v>8000</v>
      </c>
      <c r="H73">
        <v>56000</v>
      </c>
    </row>
    <row r="74" spans="1:8" x14ac:dyDescent="0.3">
      <c r="A74">
        <v>121</v>
      </c>
      <c r="B74" s="4">
        <v>46036</v>
      </c>
      <c r="C74" t="s">
        <v>16</v>
      </c>
      <c r="D74" t="s">
        <v>15</v>
      </c>
      <c r="E74" t="s">
        <v>12</v>
      </c>
      <c r="F74">
        <v>6</v>
      </c>
      <c r="G74">
        <v>120</v>
      </c>
      <c r="H74">
        <v>720</v>
      </c>
    </row>
    <row r="75" spans="1:8" x14ac:dyDescent="0.3">
      <c r="A75">
        <v>117</v>
      </c>
      <c r="B75" s="4">
        <v>46032</v>
      </c>
      <c r="C75" t="s">
        <v>13</v>
      </c>
      <c r="D75" t="s">
        <v>9</v>
      </c>
      <c r="E75" t="s">
        <v>12</v>
      </c>
      <c r="F75">
        <v>8</v>
      </c>
      <c r="G75">
        <v>100</v>
      </c>
      <c r="H75">
        <v>800</v>
      </c>
    </row>
    <row r="76" spans="1:8" x14ac:dyDescent="0.3">
      <c r="A76">
        <v>113</v>
      </c>
      <c r="B76" s="4">
        <v>46028</v>
      </c>
      <c r="C76" t="s">
        <v>8</v>
      </c>
      <c r="D76" t="s">
        <v>11</v>
      </c>
      <c r="E76" t="s">
        <v>12</v>
      </c>
      <c r="F76">
        <v>10</v>
      </c>
      <c r="G76">
        <v>100</v>
      </c>
      <c r="H76">
        <v>1000</v>
      </c>
    </row>
    <row r="77" spans="1:8" x14ac:dyDescent="0.3">
      <c r="A77">
        <v>103</v>
      </c>
      <c r="B77" s="4">
        <v>46018</v>
      </c>
      <c r="C77" t="s">
        <v>13</v>
      </c>
      <c r="D77" t="s">
        <v>22</v>
      </c>
      <c r="E77" t="s">
        <v>12</v>
      </c>
      <c r="F77">
        <v>7</v>
      </c>
      <c r="G77">
        <v>100</v>
      </c>
      <c r="H77">
        <v>700</v>
      </c>
    </row>
    <row r="78" spans="1:8" x14ac:dyDescent="0.3">
      <c r="A78">
        <v>102</v>
      </c>
      <c r="B78" s="4">
        <v>46017</v>
      </c>
      <c r="C78" t="s">
        <v>18</v>
      </c>
      <c r="D78" t="s">
        <v>15</v>
      </c>
      <c r="E78" t="s">
        <v>12</v>
      </c>
      <c r="F78">
        <v>5</v>
      </c>
      <c r="G78">
        <v>120</v>
      </c>
      <c r="H78">
        <v>600</v>
      </c>
    </row>
    <row r="79" spans="1:8" x14ac:dyDescent="0.3">
      <c r="A79">
        <v>76</v>
      </c>
      <c r="B79" s="4">
        <v>45991</v>
      </c>
      <c r="C79" t="s">
        <v>8</v>
      </c>
      <c r="D79" t="s">
        <v>11</v>
      </c>
      <c r="E79" t="s">
        <v>12</v>
      </c>
      <c r="F79">
        <v>10</v>
      </c>
      <c r="G79">
        <v>600</v>
      </c>
      <c r="H79">
        <v>6000</v>
      </c>
    </row>
    <row r="80" spans="1:8" x14ac:dyDescent="0.3">
      <c r="A80">
        <v>77</v>
      </c>
      <c r="B80" s="4">
        <v>45992</v>
      </c>
      <c r="C80" t="s">
        <v>18</v>
      </c>
      <c r="D80" t="s">
        <v>22</v>
      </c>
      <c r="E80" t="s">
        <v>12</v>
      </c>
      <c r="F80">
        <v>7</v>
      </c>
      <c r="G80">
        <v>230</v>
      </c>
      <c r="H80">
        <v>1610</v>
      </c>
    </row>
    <row r="81" spans="1:8" x14ac:dyDescent="0.3">
      <c r="A81">
        <v>98</v>
      </c>
      <c r="B81" s="4">
        <v>46013</v>
      </c>
      <c r="C81" t="s">
        <v>19</v>
      </c>
      <c r="D81" t="s">
        <v>9</v>
      </c>
      <c r="E81" t="s">
        <v>12</v>
      </c>
      <c r="F81">
        <v>6</v>
      </c>
      <c r="G81">
        <v>600</v>
      </c>
      <c r="H81">
        <v>3600</v>
      </c>
    </row>
    <row r="82" spans="1:8" x14ac:dyDescent="0.3">
      <c r="A82">
        <v>92</v>
      </c>
      <c r="B82" s="4">
        <v>46007</v>
      </c>
      <c r="C82" t="s">
        <v>8</v>
      </c>
      <c r="D82" t="s">
        <v>9</v>
      </c>
      <c r="E82" t="s">
        <v>12</v>
      </c>
      <c r="F82">
        <v>2</v>
      </c>
      <c r="G82">
        <v>8000</v>
      </c>
      <c r="H82">
        <v>16000</v>
      </c>
    </row>
    <row r="83" spans="1:8" x14ac:dyDescent="0.3">
      <c r="A83">
        <v>91</v>
      </c>
      <c r="B83" s="4">
        <v>46006</v>
      </c>
      <c r="C83" t="s">
        <v>8</v>
      </c>
      <c r="D83" t="s">
        <v>11</v>
      </c>
      <c r="E83" t="s">
        <v>12</v>
      </c>
      <c r="F83">
        <v>10</v>
      </c>
      <c r="G83">
        <v>8000</v>
      </c>
      <c r="H83">
        <v>80000</v>
      </c>
    </row>
    <row r="84" spans="1:8" x14ac:dyDescent="0.3">
      <c r="A84">
        <v>81</v>
      </c>
      <c r="B84" s="4">
        <v>45996</v>
      </c>
      <c r="C84" t="s">
        <v>21</v>
      </c>
      <c r="D84" t="s">
        <v>15</v>
      </c>
      <c r="E84" t="s">
        <v>12</v>
      </c>
      <c r="F84">
        <v>6</v>
      </c>
      <c r="G84">
        <v>100</v>
      </c>
      <c r="H84">
        <v>600</v>
      </c>
    </row>
    <row r="85" spans="1:8" x14ac:dyDescent="0.3">
      <c r="A85">
        <v>89</v>
      </c>
      <c r="B85" s="4">
        <v>46004</v>
      </c>
      <c r="C85" t="s">
        <v>17</v>
      </c>
      <c r="D85" t="s">
        <v>9</v>
      </c>
      <c r="E85" t="s">
        <v>12</v>
      </c>
      <c r="F85">
        <v>3</v>
      </c>
      <c r="G85">
        <v>100</v>
      </c>
      <c r="H85">
        <v>300</v>
      </c>
    </row>
    <row r="86" spans="1:8" x14ac:dyDescent="0.3">
      <c r="A86">
        <v>84</v>
      </c>
      <c r="B86" s="4">
        <v>45999</v>
      </c>
      <c r="C86" t="s">
        <v>14</v>
      </c>
      <c r="D86" t="s">
        <v>9</v>
      </c>
      <c r="E86" t="s">
        <v>12</v>
      </c>
      <c r="F86">
        <v>7</v>
      </c>
      <c r="G86">
        <v>500</v>
      </c>
      <c r="H86">
        <v>3500</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DAF16-F058-460E-9E20-69663AB6F583}">
  <dimension ref="A3:K16"/>
  <sheetViews>
    <sheetView workbookViewId="0"/>
  </sheetViews>
  <sheetFormatPr defaultRowHeight="14.4" x14ac:dyDescent="0.3"/>
  <cols>
    <col min="1" max="1" width="12.44140625" bestFit="1" customWidth="1"/>
    <col min="2" max="2" width="13.5546875" bestFit="1" customWidth="1"/>
    <col min="4" max="4" width="12.44140625" bestFit="1" customWidth="1"/>
    <col min="5" max="5" width="13.5546875" bestFit="1" customWidth="1"/>
    <col min="7" max="7" width="12.44140625" bestFit="1" customWidth="1"/>
    <col min="8" max="8" width="13.5546875" bestFit="1" customWidth="1"/>
    <col min="10" max="10" width="12.44140625" bestFit="1" customWidth="1"/>
    <col min="11" max="11" width="9.88671875" bestFit="1" customWidth="1"/>
    <col min="14" max="14" width="14.88671875" customWidth="1"/>
  </cols>
  <sheetData>
    <row r="3" spans="1:11" x14ac:dyDescent="0.3">
      <c r="A3" s="1" t="s">
        <v>23</v>
      </c>
      <c r="B3" t="s">
        <v>25</v>
      </c>
      <c r="D3" s="1" t="s">
        <v>23</v>
      </c>
      <c r="E3" t="s">
        <v>25</v>
      </c>
      <c r="G3" s="8" t="s">
        <v>23</v>
      </c>
      <c r="H3" s="9" t="s">
        <v>25</v>
      </c>
      <c r="J3" s="1" t="s">
        <v>23</v>
      </c>
      <c r="K3" t="s">
        <v>27</v>
      </c>
    </row>
    <row r="4" spans="1:11" x14ac:dyDescent="0.3">
      <c r="A4" s="2" t="s">
        <v>11</v>
      </c>
      <c r="B4" s="3">
        <v>103230</v>
      </c>
      <c r="D4" s="2" t="s">
        <v>30</v>
      </c>
      <c r="E4" s="3">
        <v>42880</v>
      </c>
      <c r="G4" s="10" t="s">
        <v>42</v>
      </c>
      <c r="H4" s="9">
        <v>484900</v>
      </c>
      <c r="J4" s="2" t="s">
        <v>42</v>
      </c>
      <c r="K4" s="3">
        <v>369</v>
      </c>
    </row>
    <row r="5" spans="1:11" x14ac:dyDescent="0.3">
      <c r="A5" s="2" t="s">
        <v>15</v>
      </c>
      <c r="B5" s="3">
        <v>185310</v>
      </c>
      <c r="D5" s="2" t="s">
        <v>31</v>
      </c>
      <c r="E5" s="3">
        <v>3720</v>
      </c>
      <c r="G5" s="10" t="s">
        <v>24</v>
      </c>
      <c r="H5" s="9">
        <v>484900</v>
      </c>
      <c r="J5" s="2" t="s">
        <v>24</v>
      </c>
      <c r="K5" s="3">
        <v>369</v>
      </c>
    </row>
    <row r="6" spans="1:11" x14ac:dyDescent="0.3">
      <c r="A6" s="2" t="s">
        <v>22</v>
      </c>
      <c r="B6" s="3">
        <v>105700</v>
      </c>
      <c r="D6" s="2" t="s">
        <v>32</v>
      </c>
      <c r="E6" s="3">
        <v>2210</v>
      </c>
    </row>
    <row r="7" spans="1:11" x14ac:dyDescent="0.3">
      <c r="A7" s="2" t="s">
        <v>9</v>
      </c>
      <c r="B7" s="3">
        <v>90660</v>
      </c>
      <c r="D7" s="2" t="s">
        <v>33</v>
      </c>
      <c r="E7" s="3">
        <v>10660</v>
      </c>
    </row>
    <row r="8" spans="1:11" x14ac:dyDescent="0.3">
      <c r="A8" s="2" t="s">
        <v>24</v>
      </c>
      <c r="B8" s="3">
        <v>484900</v>
      </c>
      <c r="D8" s="2" t="s">
        <v>34</v>
      </c>
      <c r="E8" s="3">
        <v>65200</v>
      </c>
    </row>
    <row r="9" spans="1:11" x14ac:dyDescent="0.3">
      <c r="D9" s="2" t="s">
        <v>35</v>
      </c>
      <c r="E9" s="3">
        <v>7240</v>
      </c>
    </row>
    <row r="10" spans="1:11" x14ac:dyDescent="0.3">
      <c r="D10" s="2" t="s">
        <v>36</v>
      </c>
      <c r="E10" s="3">
        <v>81580</v>
      </c>
    </row>
    <row r="11" spans="1:11" x14ac:dyDescent="0.3">
      <c r="A11" s="7" t="s">
        <v>28</v>
      </c>
      <c r="B11" s="6">
        <f>GETPIVOTDATA("Amount",$A$3)</f>
        <v>484900</v>
      </c>
      <c r="D11" s="2" t="s">
        <v>37</v>
      </c>
      <c r="E11" s="3">
        <v>88180</v>
      </c>
    </row>
    <row r="12" spans="1:11" x14ac:dyDescent="0.3">
      <c r="A12" s="7" t="s">
        <v>29</v>
      </c>
      <c r="B12" s="6">
        <f>GETPIVOTDATA("Qty",$J$3)</f>
        <v>369</v>
      </c>
      <c r="D12" s="2" t="s">
        <v>38</v>
      </c>
      <c r="E12" s="3">
        <v>89780</v>
      </c>
    </row>
    <row r="13" spans="1:11" x14ac:dyDescent="0.3">
      <c r="D13" s="2" t="s">
        <v>39</v>
      </c>
      <c r="E13" s="3">
        <v>8540</v>
      </c>
    </row>
    <row r="14" spans="1:11" x14ac:dyDescent="0.3">
      <c r="D14" s="2" t="s">
        <v>40</v>
      </c>
      <c r="E14" s="3">
        <v>7810</v>
      </c>
    </row>
    <row r="15" spans="1:11" x14ac:dyDescent="0.3">
      <c r="D15" s="2" t="s">
        <v>41</v>
      </c>
      <c r="E15" s="3">
        <v>77100</v>
      </c>
    </row>
    <row r="16" spans="1:11" x14ac:dyDescent="0.3">
      <c r="D16" s="2" t="s">
        <v>24</v>
      </c>
      <c r="E16" s="3">
        <v>484900</v>
      </c>
    </row>
  </sheetData>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professional excel dashboard</vt:lpstr>
      <vt:lpstr>data</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Suraj Saini</dc:creator>
  <cp:lastModifiedBy>Suraj Saini</cp:lastModifiedBy>
  <dcterms:created xsi:type="dcterms:W3CDTF">2026-10-05T19:55:35Z</dcterms:created>
  <dcterms:modified xsi:type="dcterms:W3CDTF">2026-10-07T09:11:43Z</dcterms:modified>
</cp:coreProperties>
</file>